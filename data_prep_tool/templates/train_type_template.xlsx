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7" windowHeight="12240"/>
  </bookViews>
  <sheets>
    <sheet name="Train type (2)" sheetId="2" r:id="rId1"/>
  </sheets>
  <externalReferences>
    <externalReference r:id="rId3"/>
  </externalReferences>
  <definedNames>
    <definedName name="acc3d_privileged_axis_range">[1]REF!$N$96:$N$98</definedName>
    <definedName name="acco_working_mode">[1]REF!$N$91:$N$93</definedName>
    <definedName name="action_type">[1]REF!$K$86:$K$92</definedName>
    <definedName name="AFB_ATO">[1]REF!$N$101:$N$102</definedName>
    <definedName name="ALLOWED_INPUT_Range">[1]REF!$A$57:$E$74</definedName>
    <definedName name="ALLOWED_OUTPUT_Range">[1]REF!$A$6:$F$52</definedName>
    <definedName name="antenna_config">[1]REF!$K$12:$K$14</definedName>
    <definedName name="APPB_FG">[1]Default_Parameters!$D$555:$K$590</definedName>
    <definedName name="APPB_FG_CORE">[1]Default_Parameters!$D$592:$H$627</definedName>
    <definedName name="APPB_MSG">[1]Default_Parameters!$D$523:$AM$537</definedName>
    <definedName name="APPB_MSG_CORE">[1]Default_Parameters!$D$539:$O$553</definedName>
    <definedName name="APPLY_EB_APPLY_SB">[1]REF!$H$132:$H$133</definedName>
    <definedName name="ATBL_index_for_action_Nmax">[1]Project!$E$156</definedName>
    <definedName name="ATC2_Default_Outputs">[1]Default_Default_Outputs!$C$91:$F$91</definedName>
    <definedName name="ATC2_I_Used">'[1]Test Generic Inputs_ATC2'!$A$4</definedName>
    <definedName name="ATC2_O_Used">'[1]Test Generic Outputs_ATC2'!$A$4</definedName>
    <definedName name="ATC2_Text_ID">'[1]ATC2'!$F$65:$GF$65</definedName>
    <definedName name="ATC2_tp_order">'[1]Test Generic Outputs_ATC2'!$D$3</definedName>
    <definedName name="ATC2_tp_order_I">'[1]Test Generic Inputs_ATC2'!$D$3</definedName>
    <definedName name="ATO_vnom_processing">[1]REF!$O$148:$O$150</definedName>
    <definedName name="AUCH_CRC_HI">'[1]SINGS_WINGS COMPUTATION'!$B$531:$B$786</definedName>
    <definedName name="AUCH_CRC_LO">'[1]SINGS_WINGS COMPUTATION'!$C$531:$C$786</definedName>
    <definedName name="BOWL_ATC2">[1]System_interface_description!$D$795</definedName>
    <definedName name="Br2SheetsCRC">[1]REF!$D$79:$D$123</definedName>
    <definedName name="Br2SheetsCRCREF">[1]REF!$E$79:$E$123</definedName>
    <definedName name="Br2SheetsList">[1]REF!$B$79:$B$123</definedName>
    <definedName name="Br2SheetsListLockedUIOnly">[1]REF!$C$79:$C$123</definedName>
    <definedName name="brake_action">[1]REF!$K$55:$K$58</definedName>
    <definedName name="brake_percentage_range_min">'[1]Dynamic train data set'!$E$49</definedName>
    <definedName name="brake_position_ident">[1]REF!$N$78:$N$80</definedName>
    <definedName name="CAN_MVB_board">[1]REF!$J$125:$J$127</definedName>
    <definedName name="CAN_MVB_data_value_ident">[1]Development!$E$1152</definedName>
    <definedName name="CAN_MVB_data_value_ident_cpy">[1]CAN_MVB!$E$6</definedName>
    <definedName name="cant_deficiency_train_category">[1]REF!$N$55:$N$65</definedName>
    <definedName name="CD_ACTION_AUTH">[1]Cockpit!$O$7</definedName>
    <definedName name="CD_ACTION_DATE">[1]Cockpit!$N$7</definedName>
    <definedName name="CD_ATC2_ERR">[1]Cockpit!$M$16</definedName>
    <definedName name="CD_ATC2_ERROR">[1]Cockpit!$M$16</definedName>
    <definedName name="CD_CHECK_AUTH">[1]Cockpit!$O$9</definedName>
    <definedName name="CD_CHECK_DATE">[1]Cockpit!$N$9</definedName>
    <definedName name="CD_COM_ERR">[1]Cockpit!$M$15</definedName>
    <definedName name="CD_DY_ERR">[1]Cockpit!$M$10</definedName>
    <definedName name="CD_EB_ERR">[1]Cockpit!$M$12</definedName>
    <definedName name="CD_FX_ERR">[1]Cockpit!$M$11</definedName>
    <definedName name="CD_IMPORT_ERR">[1]Cockpit!$J$7</definedName>
    <definedName name="CD_NSB_ERR">[1]Cockpit!$M$14</definedName>
    <definedName name="CD_PR_ERR">[1]Cockpit!$M$9</definedName>
    <definedName name="CD_SB_ERR">[1]Cockpit!$M$13</definedName>
    <definedName name="CD_TT_ERR">[1]Cockpit!$M$8</definedName>
    <definedName name="check_VBC_validity_period">[1]REF!$L$103:$L$105</definedName>
    <definedName name="ChoixAntenneUser_S">[1]IMU!$C$8</definedName>
    <definedName name="ChoixAntenneUser_W">[1]IMU!$C$74</definedName>
    <definedName name="CLOSE_OPEN_CB">[1]REF!$L$16:$L$17</definedName>
    <definedName name="CLOSED_OPEN_STATE">[1]REF!$M$56:$M$59</definedName>
    <definedName name="CMD_Source">[1]REF!$O$137:$O$140</definedName>
    <definedName name="coding_type">[1]REF!$N$87:$N$88</definedName>
    <definedName name="coeffA_vae_static_user_S">[1]IMU!$C$16</definedName>
    <definedName name="coeffA_vae_static_user_W">[1]IMU!$C$82</definedName>
    <definedName name="coeffB_vae_static_user_S">[1]IMU!$C$17</definedName>
    <definedName name="coeffB_vae_static_user_W">[1]IMU!$C$83</definedName>
    <definedName name="coeffC_vae_static_user_S">[1]IMU!$C$18</definedName>
    <definedName name="coeffC_vae_static_user_W">[1]IMU!$C$84</definedName>
    <definedName name="COLOR1">[1]IO_listing!$O$67</definedName>
    <definedName name="COLOR2">[1]IO_listing!$O$68</definedName>
    <definedName name="COLOR3">[1]IO_listing!$P$67</definedName>
    <definedName name="COLOR4">[1]IO_listing!$P$68</definedName>
    <definedName name="com_authorisation_mgt_active">[1]COMET!$E$234</definedName>
    <definedName name="com_message_type">[1]REF!$J$55:$J$77</definedName>
    <definedName name="Combined_SB">'[1]Default_Test Binary Outputs'!$C$145</definedName>
    <definedName name="Combined_TCO">'[1]Default_Test Binary Outputs'!$C$147</definedName>
    <definedName name="COMET_DMI_Com_ETH_Nmax">[1]COMET!$E$28</definedName>
    <definedName name="COMET_DMI_Com_Nmax">[1]COMET!$E$24</definedName>
    <definedName name="COMET_DMI_Com_PFB_Nmax">[1]COMET!$E$36</definedName>
    <definedName name="COMET_INTERNAL_TRU_isUsed">[1]COMET!$E$119</definedName>
    <definedName name="COMET_MaskFilio1">[1]COMET!$E$111</definedName>
    <definedName name="COMET_MaskFilio2">[1]COMET!$E$112</definedName>
    <definedName name="COMET_Profibus_Sender_Nmax">[1]COMET!$E$62</definedName>
    <definedName name="COMET_Sink_Pro_Data_ETH_Nmax">[1]COMET!$E$96</definedName>
    <definedName name="COMET_Sink_Pro_Data_Nmax">[1]COMET!$E$85</definedName>
    <definedName name="COMET_Source_Pro_Data_ETH_Nmax">[1]COMET!$E$75</definedName>
    <definedName name="COMET_Source_Pro_Data_Nmax">[1]COMET!$E$65</definedName>
    <definedName name="COMET_STM_baseline">[1]REF!$I$89:$I$92</definedName>
    <definedName name="COMET_STM_On_Profibus_Nmax">[1]COMET!$E$44</definedName>
    <definedName name="COMET_TRU_Com_Nmax">[1]COMET!$E$39</definedName>
    <definedName name="command_TCO_on_w">[1]REF!$N$37:$N$39</definedName>
    <definedName name="communication_manager">[1]REF!$J$19:$J$21</definedName>
    <definedName name="communication_medium">[1]REF!$J$8:$J$11</definedName>
    <definedName name="connection_type">[1]REF!$J$31:$J$33</definedName>
    <definedName name="conversion_model_can_be_used">'[1]Dynamic train data set'!#REF!</definedName>
    <definedName name="CORE_SIL0_Plug_Version_Ident">'[1]CORE SIL0'!$E$5</definedName>
    <definedName name="CORE_TIU">[1]REF!$J$24:$J$25</definedName>
    <definedName name="CORE_TIU_CORE_TIU">[1]REF!$N$6:$N$9</definedName>
    <definedName name="COUPLING_STATE">[1]REF!$M$62:$M$65</definedName>
    <definedName name="cp_train_type_ref">[1]REF!$K$117:$K$124</definedName>
    <definedName name="CPBI_Eqpt_Source">[1]Communication_eqpt_def!$C$4:$L$10</definedName>
    <definedName name="CPU_SL_COM_ID">[1]REF!$J$155:$J$158</definedName>
    <definedName name="CRC_MSG">[1]REF!$J$116:$J$121</definedName>
    <definedName name="CRC_NOK">"CHECK_NOK,ZoneTexte 41"</definedName>
    <definedName name="CUSTOMER_DATA_LIST">[1]CustomerData!$B$1:$T$570</definedName>
    <definedName name="CustomerDataFileDate">[1]Cockpit!$K$8</definedName>
    <definedName name="CustomerDataFilename">[1]Cockpit!$K$7</definedName>
    <definedName name="DC_Errors">[1]Cockpit!$M$26</definedName>
    <definedName name="DC_Range">[1]Design_choices!$C$3:$D$1120</definedName>
    <definedName name="DD_CHECK_AUTH">[1]Cockpit!$O$27</definedName>
    <definedName name="DD_CHECK_DATE">[1]Cockpit!$N$27</definedName>
    <definedName name="DD_VALID_AUTH">[1]Cockpit!$O$30</definedName>
    <definedName name="DD_VALID_DATE">[1]Cockpit!$N$30</definedName>
    <definedName name="debug_service_to_use">[1]REF!$H$66:$H$68</definedName>
    <definedName name="decel_meas">[1]REF!$O$99:$O$101</definedName>
    <definedName name="Default_ATC2_CMD_1">[1]Default_ATC2_Outputs!$A$12:$K$25</definedName>
    <definedName name="Default_ATC2_Inputs">[1]Default_ATC2_Inputs!$B$3:$K$3</definedName>
    <definedName name="Default_ATC2_Outputs">[1]Default_ATC2_Outputs!$B$3:$L$3</definedName>
    <definedName name="Default_ATC2_STATE_2">[1]Default_ATC2_Inputs!$A$7:$L$16</definedName>
    <definedName name="Default_Binary_Inputs">'[1]Default_Test Binary Inputs'!$B$3:$Z$130</definedName>
    <definedName name="Default_Binary_Outputs">'[1]Default_Test Binary Outputs'!$C$3:$AG$170</definedName>
    <definedName name="Default_Default_Outputs_List">[1]Default_Default_Outputs!$B$2:$K$24</definedName>
    <definedName name="Default_ERTMS_CMD_1">[1]Default_ERTMS_Outputs!$A$53:$I$66</definedName>
    <definedName name="Default_ERTMS_CMD_12">[1]Default_ERTMS_Outputs!$A$83:$I$96</definedName>
    <definedName name="Default_ERTMS_CMD_16">[1]Default_ERTMS_Outputs!$A$113:$I$126</definedName>
    <definedName name="Default_ERTMS_CMD_17">[1]Default_ERTMS_Outputs!$A$128:$I$141</definedName>
    <definedName name="Default_ERTMS_CMD_18">[1]Default_ERTMS_Outputs!$A$143:$M$159</definedName>
    <definedName name="Default_ERTMS_CMD_21">[1]Default_ERTMS_Outputs!$A$195:$I$208</definedName>
    <definedName name="Default_ERTMS_CMD_255">[1]Default_ERTMS_Outputs!$A$98:$I$111</definedName>
    <definedName name="Default_ERTMS_CMD_27">[1]Default_ERTMS_Outputs!$A$211:$I$224</definedName>
    <definedName name="Default_ERTMS_CMD_3">[1]Default_ERTMS_Outputs!$A$68:$G$81</definedName>
    <definedName name="Default_ERTMS_CMD_33">[1]Default_ERTMS_Outputs!$A$227:$I$240</definedName>
    <definedName name="Default_ERTMS_CMD_34">[1]Default_ERTMS_Outputs!$A$243:$I$256</definedName>
    <definedName name="Default_ERTMS_CMD_35">[1]Default_ERTMS_Outputs!$A$259:$I$272</definedName>
    <definedName name="Default_ERTMS_CMD_36">[1]Default_ERTMS_Outputs!$A$275:$I$288</definedName>
    <definedName name="Default_ERTMS_CMD_37">[1]Default_ERTMS_Outputs!$A$291:$K$306</definedName>
    <definedName name="Default_ERTMS_CMD_38">[1]Default_ERTMS_Outputs!$A$309:$I$322</definedName>
    <definedName name="Default_ERTMS_CMD_39">[1]Default_ERTMS_Outputs!$A$325:$I$338</definedName>
    <definedName name="Default_ERTMS_CMD_40">[1]Default_ERTMS_Outputs!$A$341:$I$354</definedName>
    <definedName name="Default_ERTMS_CMD_41">[1]Default_ERTMS_Outputs!$A$357:$I$370</definedName>
    <definedName name="Default_ERTMS_CMD_42">[1]Default_ERTMS_Outputs!$A$373:$I$386</definedName>
    <definedName name="Default_ERTMS_CMD_43">[1]Default_ERTMS_Outputs!$A$389:$I$402</definedName>
    <definedName name="Default_ERTMS_CMD_44">[1]Default_ERTMS_Outputs!$A$405:$I$418</definedName>
    <definedName name="Default_ERTMS_CMD_45">[1]Default_ERTMS_Outputs!$A$421:$I$434</definedName>
    <definedName name="Default_ERTMS_CMD_46">[1]Default_ERTMS_Outputs!$A$437:$K$452</definedName>
    <definedName name="Default_ERTMS_CMD_47">[1]Default_ERTMS_Outputs!$A$455:$I$468</definedName>
    <definedName name="Default_ERTMS_CMD_6">[1]Default_ERTMS_Outputs!$A$161:$K$176</definedName>
    <definedName name="Default_ERTMS_CMD_7">[1]Default_ERTMS_Outputs!$A$178:$K$192</definedName>
    <definedName name="Default_ERTMS_Inputs">[1]Default_ERTMS_Inputs!$B$3:$H$51</definedName>
    <definedName name="Default_ERTMS_Outputs">[1]Default_ERTMS_Outputs!$B$3:$I$50</definedName>
    <definedName name="Default_ERTMS_STATE_1">[1]Default_ERTMS_Inputs!$A$53:$J$62</definedName>
    <definedName name="Default_ERTMS_STATE_10">[1]Default_ERTMS_Inputs!$A$159:$T$174</definedName>
    <definedName name="Default_ERTMS_STATE_11">[1]Default_ERTMS_Inputs!$A$176:$AN$191</definedName>
    <definedName name="Default_ERTMS_STATE_12">[1]Default_ERTMS_Inputs!$A$193:$AN$208</definedName>
    <definedName name="Default_ERTMS_STATE_13">[1]Default_ERTMS_Inputs!$A$210:$J$219</definedName>
    <definedName name="Default_ERTMS_STATE_14">[1]Default_ERTMS_Inputs!$A$221:$J$230</definedName>
    <definedName name="Default_ERTMS_STATE_15">[1]Default_ERTMS_Inputs!$A$232:$J$241</definedName>
    <definedName name="Default_ERTMS_STATE_2">[1]Default_ERTMS_Inputs!$A$64:$J$73</definedName>
    <definedName name="Default_ERTMS_STATE_3">[1]Default_ERTMS_Inputs!$A$75:$J$84</definedName>
    <definedName name="Default_ERTMS_STATE_4">[1]Default_ERTMS_Inputs!$A$86:$J$95</definedName>
    <definedName name="Default_ERTMS_STATE_40">[1]Default_ERTMS_Inputs!$A$243:$J$252</definedName>
    <definedName name="Default_ERTMS_STATE_41">[1]Default_ERTMS_Inputs!$A$254:$J$263</definedName>
    <definedName name="Default_ERTMS_STATE_42">[1]Default_ERTMS_Inputs!$A$265:$J$274</definedName>
    <definedName name="Default_ERTMS_STATE_43">[1]Default_ERTMS_Inputs!$A$276:$J$285</definedName>
    <definedName name="Default_ERTMS_STATE_44">[1]Default_ERTMS_Inputs!$A$287:$J$296</definedName>
    <definedName name="Default_ERTMS_STATE_45">[1]Default_ERTMS_Inputs!$A$298:$J$307</definedName>
    <definedName name="Default_ERTMS_STATE_46">[1]Default_ERTMS_Inputs!$A$309:$J$318</definedName>
    <definedName name="Default_ERTMS_STATE_47">[1]Default_ERTMS_Inputs!$A$320:$L$331</definedName>
    <definedName name="Default_ERTMS_STATE_48">[1]Default_ERTMS_Inputs!$A$333:$J$342</definedName>
    <definedName name="Default_ERTMS_STATE_49">[1]Default_ERTMS_Inputs!$A$344:$L$354</definedName>
    <definedName name="Default_ERTMS_STATE_5">[1]Default_ERTMS_Inputs!$A$97:$L$107</definedName>
    <definedName name="Default_ERTMS_STATE_50">[1]Default_ERTMS_Inputs!$A$356:$L$366</definedName>
    <definedName name="Default_ERTMS_STATE_51">[1]Default_ERTMS_Inputs!$A$368:$L$378</definedName>
    <definedName name="Default_ERTMS_STATE_6">[1]Default_ERTMS_Inputs!$A$109:$J$118</definedName>
    <definedName name="Default_ERTMS_STATE_7">[1]Default_ERTMS_Inputs!$A$120:$J$129</definedName>
    <definedName name="Default_ERTMS_STATE_8">[1]Default_ERTMS_Inputs!$A$131:$N$146</definedName>
    <definedName name="Default_ERTMS_STATE_9">[1]Default_ERTMS_Inputs!$A$148:$J$157</definedName>
    <definedName name="Default_FCT_MEMOR">[1]Default_Parameters!$H$720:$K$738</definedName>
    <definedName name="Default_Gen_O_INAT_0">[1]Default_INAT_Outputs!$A$47:$I$60</definedName>
    <definedName name="Default_Gen_O_INAT_1">[1]Default_INAT_Outputs!$A$62:$I$75</definedName>
    <definedName name="Default_Gen_O_INAT_2">[1]Default_INAT_Outputs!$A$77:$K$90</definedName>
    <definedName name="Default_Gen_O_INAT_3">[1]Default_INAT_Outputs!$A$92:$I$105</definedName>
    <definedName name="Default_Gen_O_INAT_4">[1]Default_INAT_Outputs!$A$107:$I$120</definedName>
    <definedName name="Default_Gen_O_INAT_5">[1]Default_INAT_Outputs!$A$122:$O$135</definedName>
    <definedName name="Default_Gen_O_INAT_6">[1]Default_INAT_Outputs!$A$137:$O$150</definedName>
    <definedName name="Default_Gen_O_INAT_7">[1]Default_INAT_Outputs!$A$152:$I$165</definedName>
    <definedName name="Default_Gen_O_INAT_8">[1]Default_INAT_Outputs!$A$167:$O$184</definedName>
    <definedName name="Default_Gen_O_TBL_0">[1]Default_TBL1P_Outputs!$A$17:$I$30</definedName>
    <definedName name="Default_Gen_O_TBL_4">[1]Default_TBL1P_Outputs!$A$33:$I$47</definedName>
    <definedName name="Default_GEOS">[1]Default_Parameters!$B$186:$F$521</definedName>
    <definedName name="Default_INAT_state_0">[1]Default_INAT_Inputs!$A$76:$J$85</definedName>
    <definedName name="Default_INAT_state_1">[1]Default_INAT_Inputs!$A$87:$J$96</definedName>
    <definedName name="Default_INAT_state_10">[1]Default_INAT_Inputs!$A$200:$P$209</definedName>
    <definedName name="Default_INAT_state_11">[1]Default_INAT_Inputs!$A$211:$P$224</definedName>
    <definedName name="Default_INAT_state_12">[1]Default_INAT_Inputs!$A$226:$J$235</definedName>
    <definedName name="Default_INAT_state_13">[1]Default_INAT_Inputs!$A$237:$J$246</definedName>
    <definedName name="Default_INAT_state_14">[1]Default_INAT_Inputs!$A$248:$J$257</definedName>
    <definedName name="Default_INAT_state_2">[1]Default_INAT_Inputs!$A$98:$J$107</definedName>
    <definedName name="Default_INAT_state_3">[1]Default_INAT_Inputs!$A$109:$L$120</definedName>
    <definedName name="Default_INAT_state_4">[1]Default_INAT_Inputs!$A$122:$L$133</definedName>
    <definedName name="Default_INAT_state_5">[1]Default_INAT_Inputs!$A$135:$X$150</definedName>
    <definedName name="Default_INAT_state_6">[1]Default_INAT_Inputs!$A$152:$L$163</definedName>
    <definedName name="Default_INAT_state_7">[1]Default_INAT_Inputs!$A$165:$J$174</definedName>
    <definedName name="Default_INAT_state_8">[1]Default_INAT_Inputs!$A$176:$L$187</definedName>
    <definedName name="Default_INAT_state_9">[1]Default_INAT_Inputs!$A$189:$J$198</definedName>
    <definedName name="Default_MEMOR">[1]Default_Parameters!$H$743:$L$761</definedName>
    <definedName name="Default_MVB_CHAR">[1]Default_Parameters!$B$3:$G$11</definedName>
    <definedName name="Default_MVB_out">[1]Default_MVB_out!$B$2:$J$12</definedName>
    <definedName name="Default_ODO">[1]Default_Parameters!$B$98:$H$184</definedName>
    <definedName name="Default_Radar">[1]Default_Parameters!$B$13:$J$76</definedName>
    <definedName name="Default_Routers_List">[1]Default_Routers!$B$3:$O$22</definedName>
    <definedName name="Default_SCMT_CMD_1">[1]Default_SCMT_Outputs!$B$16:$J$29</definedName>
    <definedName name="Default_SCMT_CMD_10">[1]Default_SCMT_Outputs!$B$161:$J$174</definedName>
    <definedName name="Default_SCMT_CMD_11">[1]Default_SCMT_Outputs!$B$177:$J$190</definedName>
    <definedName name="Default_SCMT_CMD_2">[1]Default_SCMT_Outputs!$B$33:$J$46</definedName>
    <definedName name="Default_SCMT_CMD_3">[1]Default_SCMT_Outputs!$B$49:$J$62</definedName>
    <definedName name="Default_SCMT_CMD_4">[1]Default_SCMT_Outputs!$B$65:$J$78</definedName>
    <definedName name="Default_SCMT_CMD_5">[1]Default_SCMT_Outputs!$B$81:$J$94</definedName>
    <definedName name="Default_SCMT_CMD_6">[1]Default_SCMT_Outputs!$B$97:$J$110</definedName>
    <definedName name="Default_SCMT_CMD_7">[1]Default_SCMT_Outputs!$B$113:$J$126</definedName>
    <definedName name="Default_SCMT_CMD_8">[1]Default_SCMT_Outputs!$B$129:$J$142</definedName>
    <definedName name="Default_SCMT_CMD_9">[1]Default_SCMT_Outputs!$B$145:$J$158</definedName>
    <definedName name="Default_SCMT_Inputs">[1]Default_SCMT_Inputs!$A$4:$H$19</definedName>
    <definedName name="Default_SCMT_Outputs">[1]Default_SCMT_Outputs!$C$3:$M$13</definedName>
    <definedName name="Default_SCMT_STATE_1">[1]Default_SCMT_Inputs!$A$21:$N$31</definedName>
    <definedName name="Default_SCMT_STATE_10">[1]Default_SCMT_Inputs!$A$122:$J$131</definedName>
    <definedName name="Default_SCMT_STATE_11">[1]Default_SCMT_Inputs!$A$133:$J$142</definedName>
    <definedName name="Default_SCMT_STATE_12">[1]Default_SCMT_Inputs!$A$144:$J$153</definedName>
    <definedName name="Default_SCMT_STATE_13">[1]Default_SCMT_Inputs!$A$155:$J$164</definedName>
    <definedName name="Default_SCMT_STATE_14">[1]Default_SCMT_Inputs!$A$166:$J$175</definedName>
    <definedName name="Default_SCMT_STATE_15">[1]Default_SCMT_Inputs!$A$177:$L$187</definedName>
    <definedName name="Default_SCMT_STATE_16">[1]Default_SCMT_Inputs!$A$189:$L$199</definedName>
    <definedName name="Default_SCMT_STATE_2">[1]Default_SCMT_Inputs!$A$33:$N$43</definedName>
    <definedName name="Default_SCMT_STATE_3">[1]Default_SCMT_Inputs!$A$45:$J$54</definedName>
    <definedName name="Default_SCMT_STATE_4">[1]Default_SCMT_Inputs!$A$56:$J$65</definedName>
    <definedName name="Default_SCMT_STATE_5">[1]Default_SCMT_Inputs!$A$67:$J$76</definedName>
    <definedName name="Default_SCMT_STATE_6">[1]Default_SCMT_Inputs!$A$78:$J$87</definedName>
    <definedName name="Default_SCMT_STATE_7">[1]Default_SCMT_Inputs!$A$89:$J$98</definedName>
    <definedName name="Default_SCMT_STATE_8">[1]Default_SCMT_Inputs!$A$100:$J$109</definedName>
    <definedName name="Default_SCMT_STATE_9">[1]Default_SCMT_Inputs!$A$111:$J$120</definedName>
    <definedName name="Default_SERIAL">[1]Default_Parameters!$B$720:$E$727</definedName>
    <definedName name="Default_STM">[1]Default_Parameters!$B$629:$W$718</definedName>
    <definedName name="Default_TBL1P">[1]Default_Parameters!$B$742:$F$776</definedName>
    <definedName name="Default_TBL1P_Inputs">[1]Default_TBL1P_Inputs!$A$4:$H$19</definedName>
    <definedName name="Default_TBL1P_Outputs">[1]Default_TBL1P_Outputs!$A$3:$D$14</definedName>
    <definedName name="Default_WS">[1]Default_Parameters!$B$78:$K$96</definedName>
    <definedName name="DelaiFrameUser_S">[1]IMU!$C$7</definedName>
    <definedName name="DelaiFrameUser_W">[1]IMU!$C$73</definedName>
    <definedName name="DESK_STATE">[1]REF!$L$65:$L$70</definedName>
    <definedName name="direction_control">[1]REF!$L$58:$L$62</definedName>
    <definedName name="DISABLED_ENABLED">[1]REF!$H$39:$H$40</definedName>
    <definedName name="distances_computation_method">[1]REF!$I$41:$I$42</definedName>
    <definedName name="DMI_CHANNEL">[1]REF!$J$162:$J$165</definedName>
    <definedName name="DMI_FUNCTION">[1]REF!$J$169:$J$172</definedName>
    <definedName name="DMI_GW_DEVICES">[1]Default_CAN_MVB!$C$3:$Q$6</definedName>
    <definedName name="DMI_GW_STATIONS">[1]Default_CAN_MVB!$C$9:$G$13</definedName>
    <definedName name="DO_NOT_APPLY_EB_APPLY_EB">[1]REF!$O$132:$O$133</definedName>
    <definedName name="DO_NOT_APPLY_SB_APPLY_SB">[1]REF!$L$8:$L$9</definedName>
    <definedName name="DO_NOT_INHIBIT_INHIBIT">[1]REF!$L$20:$L$21</definedName>
    <definedName name="DOORS_COMMAND">[1]REF!$L$51:$L$55</definedName>
    <definedName name="DP_RANGE_CHECK_AUTH">[1]Cockpit!$O$54</definedName>
    <definedName name="DP_RANGE_CHECK_DATE">[1]Cockpit!$N$54</definedName>
    <definedName name="DRIVER_EB_STATE">[1]REF!$M$50:$M$53</definedName>
    <definedName name="DRM_DMI_SOURCE">[1]Communication_eqpt_def!$C$63:$H$71</definedName>
    <definedName name="DSO_LIST">[1]IO_listing!$B$165:$H$172</definedName>
    <definedName name="DSO_OUT_LIST">[1]IO_listing!$B$165:$B$172</definedName>
    <definedName name="EB_SPECIAL_INTERFACE">[1]REF!$N$21:$N$24</definedName>
    <definedName name="EB_STATE">[1]REF!$L$79:$L$82</definedName>
    <definedName name="EB_test_failure_reaction">[1]REF!$J$138:$J$139</definedName>
    <definedName name="EBDECEL_Model">'[1]EB decel. models'!$B$7:$L$24</definedName>
    <definedName name="emergency_brk_test_activation">[1]REF!$I$22:$I$28</definedName>
    <definedName name="enable_ETCS_confidence_interval_monitoring">[1]REF!$O$144:$O$146</definedName>
    <definedName name="EP_SPECIAL_INTERFACE">[1]REF!$N$27:$N$29</definedName>
    <definedName name="epx">[1]REF!$O$89:$O$92</definedName>
    <definedName name="EQT_func_type">[1]REF!$I$60:$I$86</definedName>
    <definedName name="Eqt_type">[1]REF!$A$2:$A$3</definedName>
    <definedName name="equipment_type">[1]REF!$J$2:$J$5</definedName>
    <definedName name="ERTMS_I_Used">'[1]Test Generic Inputs_ERTMS'!$A$4</definedName>
    <definedName name="ERTMS_level">[1]REF!$L$28:$L$32</definedName>
    <definedName name="ERTMS_O_Used">'[1]Test Generic Outputs_ERTMS'!$A$4</definedName>
    <definedName name="ERTMS_tp_order">'[1]Test Generic Outputs_ERTMS'!$D$3</definedName>
    <definedName name="ERTMS_tp_order_I">'[1]Test Generic Inputs_ERTMS'!$D$3</definedName>
    <definedName name="ERTMS_USED">[1]Default_ERTMS_Outputs!$B$1</definedName>
    <definedName name="EVC_KIND">[1]REF!$H$109:$H$114</definedName>
    <definedName name="EVC_MVB_GW_TT_Function_Dir">[1]CAN_MVB!$F$73:$U$74</definedName>
    <definedName name="EVC_MVB_GW_TT_Message_User">[1]CAN_MVB!$F$82:$U$93</definedName>
    <definedName name="EVC_MVB_GW_TT_Station_Dir">[1]CAN_MVB!$F$77:$U$79</definedName>
    <definedName name="EVC_Reset">[1]REF!$O$71:$O$74</definedName>
    <definedName name="EVC_reset_reaction">[1]Project!$E$74</definedName>
    <definedName name="EVC_RTM_Pr_Bearer_Serv_Prmtr_speed">[1]Project!$E$630</definedName>
    <definedName name="EVC1_EVC2_EVC2p">[1]REF!$H$149:$H$153</definedName>
    <definedName name="EVCB_COMET_TT_CIP_Message_Data_Prmtr">[1]COMET!$E$285:$T$295</definedName>
    <definedName name="EVCB_COMET_TT_COMET_Internal_Data_Periodic_Publication_isUsed">[1]COMET!$E$200</definedName>
    <definedName name="EVCB_COMET_TT_DLS_USE_isUsed">[1]COMET!$E$216</definedName>
    <definedName name="EVCB_COMET_TT_DMI_Com_ETH">[1]COMET!$F$29:$I$35</definedName>
    <definedName name="EVCB_COMET_TT_DMI_Com_PFB">[1]COMET!$F$37:$I$37</definedName>
    <definedName name="EVCB_COMET_TT_ETH_Aperiodic_Data_Prmtr_Nmax">[1]COMET!$D$284</definedName>
    <definedName name="EVCB_COMET_TT_EXTERNAL_TRU_ON_ETH_Nmax">[1]COMET!$E$134</definedName>
    <definedName name="EVCB_COMET_TT_EXTERNAL_TRU_ON_MVB_Nmax">[1]COMET!$E$142</definedName>
    <definedName name="EVCB_COMET_TT_GPRS_USE_isUsed">[1]COMET!$E$270</definedName>
    <definedName name="EVCB_COMET_TT_MVB_Address_isUsed">[1]COMET!$E$165</definedName>
    <definedName name="EVCB_COMET_TT_MVB_Device_Prmtr">[1]COMET!$E$180:$T$191</definedName>
    <definedName name="EVCB_COMET_TT_MVB_Device_Prmtr_Nmax">[1]COMET!$D$179</definedName>
    <definedName name="EVCB_COMET_TT_PFB_Termination_isUsed">[1]COMET!$E$155</definedName>
    <definedName name="EVCB_COMET_TT_RTM_GSMR_speed">[1]COMET!$E$256</definedName>
    <definedName name="EVCB_COMET_TTC_DMI_Com">[1]COMET!$F$25:$I$27</definedName>
    <definedName name="EVCB_COMET_TTC_Profibus_Sender">[1]COMET!$F$63:$G$63</definedName>
    <definedName name="EVCB_COMET_TTC_Sink_Pro_Data">[1]COMET!$F$86:$U$94</definedName>
    <definedName name="EVCB_COMET_TTC_Sink_Pro_Data_ETH">[1]COMET!$F$97:$BQ$104</definedName>
    <definedName name="EVCB_COMET_TTC_Source_Pro_Data">[1]COMET!$F$66:$U$73</definedName>
    <definedName name="EVCB_COMET_TTC_Source_Pro_Data_ETH">[1]COMET!$F$76:$BQ$83</definedName>
    <definedName name="EVCB_COMET_TTC_STM_On_Profibus">[1]COMET!$F$45:$M$60</definedName>
    <definedName name="EVCB_COMET_TTC_TRU_Com">[1]COMET!$F$40:$G$42</definedName>
    <definedName name="EVCB_CORE_TTC_Com_Messages_Id">'[1]Communication config.'!$F$78:$BM$92</definedName>
    <definedName name="EVCB_CORE_TTC_Com_Msg_Flow_Grp">'[1]Communication config.'!$F$132:$S$167</definedName>
    <definedName name="EVCB_CORE_TTC_Merge_In_Descr">'[1]Communication config.'!$F$123:$U$125</definedName>
    <definedName name="EVCB_CORE_TTC_Merge_Out_Descr">'[1]Communication config.'!$F$114:$I$118</definedName>
    <definedName name="EVCB_CORE_TTC_Split_In_Descr">'[1]Communication config.'!$F$98:$I$102</definedName>
    <definedName name="EVCB_CORE_TTC_Split_Out_Descr">'[1]Communication config.'!$F$107:$U$109</definedName>
    <definedName name="EVCB_CPBI_Eqpt_Def_Prmtr">'[1]Communication config.'!$F$12:$Y$18</definedName>
    <definedName name="EVCB_CPBI_MCS_Func_Def_Prmtr">'[1]Communication config.'!$F$39:$Y$45</definedName>
    <definedName name="EVCB_CPBI_P2P_Func_Def_Prmtr">'[1]Communication config.'!$F$23:$Y$34</definedName>
    <definedName name="EVCB_DRM_DMI_Config">'[1]Communication config.'!$F$60:$I$68</definedName>
    <definedName name="EVCB_INAT_TT_Spec_STM_Mgt_Config">'[1]INAT Train type STM'!$F$16:$M$23</definedName>
    <definedName name="EVCB_TIU_TTC_Com_Messages_Id">'[1]Communication config.'!$F$177:$BM$191</definedName>
    <definedName name="EVCB_TIU_TTC_Com_Msg_Flow_Grp">'[1]Communication config.'!$F$231:$S$266</definedName>
    <definedName name="EVCB_TIU_TTC_Merge_In_Descr">'[1]Communication config.'!$F$222:$U$224</definedName>
    <definedName name="EVCB_TIU_TTC_Merge_Out_Descr">'[1]Communication config.'!$F$213:$I$217</definedName>
    <definedName name="EVCB_TIU_TTC_Split_In_Descr">'[1]Communication config.'!$F$197:$I$201</definedName>
    <definedName name="EVCB_TIU_TTC_Split_Out_Descr">'[1]Communication config.'!$F$206:$U$208</definedName>
    <definedName name="EVCC_Decel_Class_Table">'[1]Dynamic train data set'!$E$56:$AT$64</definedName>
    <definedName name="EVCKind">'[1]Comm. Config. Overview'!$Q$4</definedName>
    <definedName name="EXTERNAL_TRU_ON_ETH_isUsed">[1]COMET!$E$133</definedName>
    <definedName name="EXTERNAL_TRU_ON_MVB_isUsed">[1]COMET!$E$141</definedName>
    <definedName name="FALSE_TRUE">[1]REF!$B$2:$B$3</definedName>
    <definedName name="FDIO_IN_LIST">[1]IO_listing!$B$89:$B$136</definedName>
    <definedName name="FDIO_LIST">[1]IO_listing!$B$89:$H$161</definedName>
    <definedName name="FDIO_OUT_LIST">[1]IO_listing!$B$138:$B$161</definedName>
    <definedName name="FILIO_BOARD_1_2">[1]REF!$N$114:$N$115</definedName>
    <definedName name="FILIO_IN_LIST">[1]IO_listing!$B$3:$B$42</definedName>
    <definedName name="FILIO_LIST">[1]IO_listing!$B$3:$F$75</definedName>
    <definedName name="FILIO_OUT_LIST">[1]IO_listing!$B$44:$B$75</definedName>
    <definedName name="FILIO1_ISOLATION_STATUS_BITS">[1]COMET!$E$108</definedName>
    <definedName name="FILIO2_ISOLATION_STATUS_BITS">[1]COMET!$E$109</definedName>
    <definedName name="FilterBandwidth_S">[1]IMU!$C$41</definedName>
    <definedName name="FilterBandwidth_W">[1]IMU!$C$107</definedName>
    <definedName name="FilterCoeffEn_S">[1]IMU!$C$38</definedName>
    <definedName name="FilterCoeffEn_W">[1]IMU!$C$104</definedName>
    <definedName name="FilterCoeffSn_S">[1]IMU!$C$39</definedName>
    <definedName name="FilterCoeffSn_W">[1]IMU!$C$105</definedName>
    <definedName name="FilterOrder_S">[1]IMU!$C$42</definedName>
    <definedName name="FilterOrder_W">[1]IMU!$C$108</definedName>
    <definedName name="FilterResonance_S">[1]IMU!$C$40</definedName>
    <definedName name="FilterResonance_W">[1]IMU!$C$106</definedName>
    <definedName name="FIXED_Parameters_Values">[1]Fixed_Parameters!$B$3:$E$596</definedName>
    <definedName name="Fixed_Train_Data_Set">'[1]Fixed train data set'!$A$4:$AJ$48</definedName>
    <definedName name="FOR_GNSS_FIRST_FOR_WS_FIRST">[1]REF!$H$144:$H$145</definedName>
    <definedName name="force_NTC_STM_association">[1]Project!#REF!</definedName>
    <definedName name="FORWARD_REVERSE">[1]REF!$H$31:$H$32</definedName>
    <definedName name="FQDN_IsUsed">[1]COMET!$E$231</definedName>
    <definedName name="FrameFormatUser_S">[1]IMU!$C$15</definedName>
    <definedName name="FrameFormatUser_W">[1]IMU!$C$81</definedName>
    <definedName name="FUNCTION_IS_OFF_ON">[1]REF!$K$77:$K$78</definedName>
    <definedName name="GEN_DP_AUTH">[1]Cockpit!$O$34</definedName>
    <definedName name="GEN_DP_DATE">[1]Cockpit!$N$34</definedName>
    <definedName name="GEN_ERTMS_IN_USED">[1]Default_ERTMS_Inputs!$B$1</definedName>
    <definedName name="GEN_ERTMS_OUT_USED">[1]Default_ERTMS_Outputs!$D$1</definedName>
    <definedName name="GEN_I_ATC2">'[1]Test Generic Inputs_ATC2'!$B$9:$Y$25</definedName>
    <definedName name="GEN_I_ERTMS">'[1]Test Generic Inputs_ERTMS'!$B$9:$AO$31</definedName>
    <definedName name="GEN_I_INAT">'[1]Test Generic Inputs_INAT'!$B$9:$AG$31</definedName>
    <definedName name="GEN_I_ROUTER">'[1]Test Generic Inputs_ROUTER'!$B$9:$Y$25</definedName>
    <definedName name="GEN_I_SCMT">'[1]Test Generic Inputs_SCMT'!$B$9:$AG$31</definedName>
    <definedName name="GEN_I_TBL">'[1]Test Generic Inputs_TBL1P'!$B$9:$Y$22</definedName>
    <definedName name="GEN_IO_Mon">'[1]test IO_to_monitor'!$C$9:$CL$24</definedName>
    <definedName name="GEN_O_ATC2">'[1]Test Generic Outputs_ATC2'!$B$9:$X$28</definedName>
    <definedName name="GEN_O_ERTMS">'[1]Test Generic Outputs_ERTMS'!$B$9:$AH$37</definedName>
    <definedName name="GEN_O_INAT">'[1]Test Generic Outputs_INAT'!$B$9:$X$28</definedName>
    <definedName name="GEN_O_ROUTER">'[1]Test Generic Outputs_ROUTER'!$B$9:$X$30</definedName>
    <definedName name="GEN_O_SCMT">'[1]Test Generic Outputs_SCMT'!$B$9:$V$28</definedName>
    <definedName name="GEN_O_TBL">'[1]Test Generic Outputs_TBL1P'!$B$9:$X$27</definedName>
    <definedName name="Generic_Numeric_Inputs_1">'[1]Test Generic Numeric Inputs'!$C$7:$P$38</definedName>
    <definedName name="Generic_Numeric_Inputs_2">'[1]Test Generic Numeric Inputs'!$C$40:$P$71</definedName>
    <definedName name="Generic_Numeric_Inputs_3">'[1]Test Generic Numeric Inputs'!$C$73:$P$104</definedName>
    <definedName name="Generic_Numeric_Inputs_4">'[1]Test Generic Numeric Inputs'!$C$106:$P$137</definedName>
    <definedName name="Generic_Numeric_Inputs_5">'[1]Test Generic Numeric Inputs'!$C$139:$P$170</definedName>
    <definedName name="Generic_Numeric_Inputs_6">'[1]Test Generic Numeric Inputs'!$C$172:$P$203</definedName>
    <definedName name="Generic_Numeric_Inputs_7">'[1]Test Generic Numeric Inputs'!$C$205:$P$236</definedName>
    <definedName name="Generic_Numeric_Outputs_1">'[1]Test Generic Numeric Outputs'!$C$7:$M$38</definedName>
    <definedName name="Generic_Numeric_Outputs_2">'[1]Test Generic Numeric Outputs'!$C$40:$M$71</definedName>
    <definedName name="Generic_Numeric_Outputs_3">'[1]Test Generic Numeric Outputs'!$C$73:$M$104</definedName>
    <definedName name="Generic_Numeric_Outputs_4">'[1]Test Generic Numeric Outputs'!$C$106:$M$137</definedName>
    <definedName name="Generic_Numeric_Outputs_5">'[1]Test Generic Numeric Outputs'!$C$139:$M$170</definedName>
    <definedName name="Generic_Numeric_Outputs_6">'[1]Test Generic Numeric Outputs'!$C$172:$M$203</definedName>
    <definedName name="Generic_Numeric_Outputs_7">'[1]Test Generic Numeric Outputs'!$C$205:$M$236</definedName>
    <definedName name="Generic_Stream_Inputs_1">'[1]Test Generic Stream Inputs'!$C$7:$N$38</definedName>
    <definedName name="Generic_Stream_Inputs_2">'[1]Test Generic Stream Inputs'!$C$40:$N$71</definedName>
    <definedName name="Generic_Stream_Inputs_3">'[1]Test Generic Stream Inputs'!$C$73:$N$104</definedName>
    <definedName name="Generic_Stream_Inputs_4">'[1]Test Generic Stream Inputs'!$C$106:$N$137</definedName>
    <definedName name="Generic_Stream_Inputs_5">'[1]Test Generic Stream Inputs'!$C$139:$N$170</definedName>
    <definedName name="Generic_Stream_Inputs_6">'[1]Test Generic Stream Inputs'!$C$172:$N$203</definedName>
    <definedName name="Generic_Stream_Inputs_7">'[1]Test Generic Stream Inputs'!$C$205:$N$236</definedName>
    <definedName name="Generic_Stream_Outputs_1">'[1]Test Generic Stream Outputs'!$C$7:$J$38</definedName>
    <definedName name="Generic_Stream_Outputs_2">'[1]Test Generic Stream Outputs'!$C$40:$J$71</definedName>
    <definedName name="Generic_Stream_Outputs_3">'[1]Test Generic Stream Outputs'!$C$73:$J$104</definedName>
    <definedName name="Generic_Stream_Outputs_4">'[1]Test Generic Stream Outputs'!$C$106:$J$137</definedName>
    <definedName name="Generic_Stream_Outputs_5">'[1]Test Generic Stream Outputs'!$C$139:$J$170</definedName>
    <definedName name="Generic_Stream_Outputs_6">'[1]Test Generic Stream Outputs'!$C$172:$J$203</definedName>
    <definedName name="Generic_Stream_Outputs_7">'[1]Test Generic Stream Outputs'!$C$205:$J$236</definedName>
    <definedName name="GEOS_CHECK_AUTH">[1]Cockpit!$O$39</definedName>
    <definedName name="GEOS_CHECK_DATE">[1]Cockpit!$N$39</definedName>
    <definedName name="GEOS_DATA_LIST">[1]CustomerData!$B$575:$I$968</definedName>
    <definedName name="GEOS_DATA_LIST_NOT_IMPORTED">[1]CustomerData!$B$972:$H$1214</definedName>
    <definedName name="GEOS_IMPORT_ERR">[1]Cockpit!$J$39</definedName>
    <definedName name="GEOS_IMPORT_VERIFY_ERR">[1]Cockpit!$J$41</definedName>
    <definedName name="GEOSDataFileDate">[1]Cockpit!$K$40</definedName>
    <definedName name="GEOSDataFilename">[1]Cockpit!$K$39</definedName>
    <definedName name="get_mounted_eqpt_from_data_entry">[1]REF!$O$83:$O$86</definedName>
    <definedName name="GI_CRC_PARAMETERS_IMU1">'[1]CORE SIL0'!$F$36</definedName>
    <definedName name="GI_CRC_PARAMETERS_IMU2">'[1]CORE SIL0'!$G$36</definedName>
    <definedName name="GnssConstellationUser_S">[1]IMU!$C$6</definedName>
    <definedName name="GnssConstellationUser_W">[1]IMU!$C$72</definedName>
    <definedName name="GPRS_RTMV2_isUsed">[1]RTMV2!$E$46</definedName>
    <definedName name="gradient_max">[1]Project!$E$609</definedName>
    <definedName name="HW_Plug_Vehicle_List">'[1]Hardware plug'!$E$16:$F$515</definedName>
    <definedName name="ID_Range">[1]System_interface_description!$C$2:$D$1439</definedName>
    <definedName name="IMMEDIATE_EB_RELEASE">[1]REF!$D$2:$D$3</definedName>
    <definedName name="IMPORT_FROM_FP_FILE_AUTH">[1]Cockpit!$O$24</definedName>
    <definedName name="IMPORT_FROM_FP_FILE_DATE">[1]Cockpit!$N$24</definedName>
    <definedName name="IMU_NUMBER_SINGS">[1]IMU!$B$5</definedName>
    <definedName name="IMU_NUMBER_WINGS">[1]IMU!$B$71</definedName>
    <definedName name="IMU_TYPE_SINGS">[1]IMU!$B$5</definedName>
    <definedName name="INAT_Default_Outputs">[1]Default_Default_Outputs!$D$31:$F$72</definedName>
    <definedName name="INAT_I_Used">'[1]Test Generic Inputs_INAT'!$A$4</definedName>
    <definedName name="INAT_O_Used">'[1]Test Generic Outputs_INAT'!$A$4</definedName>
    <definedName name="INAT_tp_order">'[1]Test Generic Outputs_INAT'!$D$3</definedName>
    <definedName name="INAT_tp_order_I">'[1]Test Generic Inputs_INAT'!$D$3</definedName>
    <definedName name="INAT_TRAIN_TYPE_STM">'[1]INAT Train type STM'!$F$11:$M$55</definedName>
    <definedName name="INHIBITED_OPERATIONAL_MONITORING_ONLY">[1]REF!$H$137:$H$140</definedName>
    <definedName name="InINAT">[1]Default_INAT_Inputs!$B$2:$S$73</definedName>
    <definedName name="INPUT_BYTES_S">'[1]SINGS_WINGS COMPUTATION'!$B$533</definedName>
    <definedName name="INPUT_BYTES_W">'[1]SINGS_WINGS COMPUTATION'!$C$533</definedName>
    <definedName name="INSERTION_STATE">[1]REF!$M$20:$M$23</definedName>
    <definedName name="invert_m_side_door">[1]REF!$O$2:$O$4</definedName>
    <definedName name="IO_VISUAL_CHECK_AUTH">[1]Cockpit!$O$58</definedName>
    <definedName name="IO_VISUAL_CHECK_DATE">[1]Cockpit!$N$58</definedName>
    <definedName name="IOMon_IMPORT_AUTH">[1]Cockpit!$O$43</definedName>
    <definedName name="IOMon_IMPORT_DATE">[1]Cockpit!$N$43</definedName>
    <definedName name="IOMonFiledate">[1]Cockpit!$K$44</definedName>
    <definedName name="IOMonFileName">[1]Cockpit!$K$43</definedName>
    <definedName name="ISOLATION_STATE">[1]REF!$M$38:$M$41</definedName>
    <definedName name="IsolationStatusIsAvailOnFILIO">[1]COMET!$E$107</definedName>
    <definedName name="JAMMING_SIZE_AREA">[1]REF!$N$105:$N$111</definedName>
    <definedName name="JRU_DRU">[1]REF!$O$54:$O$56</definedName>
    <definedName name="kind_of_stm_test">[1]REF!$O$118:$O$123</definedName>
    <definedName name="KPH_MPH">[1]REF!$H$127:$H$128</definedName>
    <definedName name="l_nvkrint">[1]REF!$O$20:$O$51</definedName>
    <definedName name="La_Gnss2ImuXUser_S">[1]IMU!$C$9</definedName>
    <definedName name="La_Gnss2ImuXUser_W">[1]IMU!$C$75</definedName>
    <definedName name="La_Gnss2ImuYUser_S">[1]IMU!$C$10</definedName>
    <definedName name="La_Gnss2ImuYUser_W">[1]IMU!$C$76</definedName>
    <definedName name="La_Gnss2ImuZUser_S">[1]IMU!$C$11</definedName>
    <definedName name="La_Gnss2ImuZUser_W">[1]IMU!$C$77</definedName>
    <definedName name="Language_ID">'[1]ATC2'!$E$67:$E$70</definedName>
    <definedName name="LAST_VAL_DEFAULT_VAL">[1]REF!$K$32:$K$33</definedName>
    <definedName name="LEFT_RIGHT">[1]REF!$H$2:$H$3</definedName>
    <definedName name="level_change_origin">[1]REF!$K$65:$K$67</definedName>
    <definedName name="Lever_Arm_GravityXUser_S">[1]IMU!$C$12</definedName>
    <definedName name="Lever_Arm_GravityXUser_W">[1]IMU!$C$78</definedName>
    <definedName name="Lever_Arm_GravityYUser_S">[1]IMU!$C$13</definedName>
    <definedName name="Lever_Arm_GravityYUser_W">[1]IMU!$C$79</definedName>
    <definedName name="Lever_Arm_GravityZUser_S">[1]IMU!$C$14</definedName>
    <definedName name="Lever_Arm_GravityZUser_W">[1]IMU!$C$80</definedName>
    <definedName name="Lifesign_MSG">[1]REF!$J$111:$J$113</definedName>
    <definedName name="line_selection">[1]REF!$N$12:$N$14</definedName>
    <definedName name="LLRU_ACTION">[1]REF!$J$131:$J$134</definedName>
    <definedName name="LOW_HIGH">[1]REF!$K$23:$K$24</definedName>
    <definedName name="m_nvebcl">[1]REF!$O$7:$O$16</definedName>
    <definedName name="m_voltage">[1]REF!$N$47:$N$52</definedName>
    <definedName name="MANUAL_DP_END_AUTH">[1]Cockpit!$O$51</definedName>
    <definedName name="MANUAL_DP_END_DATE">[1]Cockpit!$N$51</definedName>
    <definedName name="Manual_DP_Modification_Info">[1]Cockpit!$E$97:$M$135</definedName>
    <definedName name="Manual_GEN_I_ATC2">'[1]Test Generic Inputs_ATC2'!$B$33:$Y$49</definedName>
    <definedName name="Manual_GEN_I_ERTMS">'[1]Test Generic Inputs_ERTMS'!$B$710:$AO$732</definedName>
    <definedName name="Manual_GEN_I_INAT">'[1]Test Generic Inputs_INAT'!$B$1651:$AG$1673</definedName>
    <definedName name="Manual_GEN_I_ROUTER">'[1]Test Generic Inputs_ROUTER'!$B$1148:$Y$1164</definedName>
    <definedName name="Manual_GEN_I_SCMT">'[1]Test Generic Inputs_SCMT'!$B$403:$AG$425</definedName>
    <definedName name="Manual_GEN_I_TBL">'[1]Test Generic Inputs_TBL1P'!$B$229:$Y$242</definedName>
    <definedName name="Manual_GEN_O_ATC2">'[1]Test Generic Outputs_ATC2'!$B$34:$X$53</definedName>
    <definedName name="Manual_GEN_O_ERTMS">'[1]Test Generic Outputs_ERTMS'!$B$524:$AH$552</definedName>
    <definedName name="Manual_GEN_O_INAT">'[1]Test Generic Outputs_INAT'!$B$983:$X$1002</definedName>
    <definedName name="Manual_GEN_O_ROUTER">'[1]Test Generic Outputs_ROUTER'!$B$1464:$X$1485</definedName>
    <definedName name="Manual_GEN_O_SCMT">'[1]Test Generic Outputs_SCMT'!$B$248:$V$267</definedName>
    <definedName name="Manual_GEN_O_TBL">'[1]Test Generic Outputs_TBL1P'!$B$260:$X$278</definedName>
    <definedName name="Manual_Generic_Numeric_Inputs">'[1]Test Generic Numeric Inputs'!$C$245:$P$276</definedName>
    <definedName name="Manual_Generic_Numeric_Outputs">'[1]Test Generic Numeric Outputs'!$C$244:$M$275</definedName>
    <definedName name="Manual_Generic_Stream_Inputs">'[1]Test Generic Stream Inputs'!$C$245:$N$276</definedName>
    <definedName name="Manual_Generic_Stream_Outputs">'[1]Test Generic Stream Outputs'!$C$242:$J$273</definedName>
    <definedName name="Manual_Test_Binary_Inputs">'[1]Test Binary Inputs'!$B$114:$AK$153</definedName>
    <definedName name="Manual_Test_Binary_Outputs">'[1]Test Binary Outputs'!$B$114:$AK$165</definedName>
    <definedName name="Manual_Test_Default_Outputs">'[1]Test Default Outputs'!$B$44:$BN$68</definedName>
    <definedName name="Manual_Test_MVB_Inputs">'[1]test MVB Inputs'!$B$47:$I$78</definedName>
    <definedName name="Manual_Test_MVB_Outputs">'[1]test MVB Outputs'!$B$47:$G$78</definedName>
    <definedName name="master_slave_bit_input_msg">[1]REF!$J$105:$J$108</definedName>
    <definedName name="MCR_func_type">[1]REF!$J$28:$J$28</definedName>
    <definedName name="MCS_func_type">[1]REF!$J$36:$J$39</definedName>
    <definedName name="MCS_odo">[1]Communication_eqpt_def!$C$75:$D$81</definedName>
    <definedName name="MesaPhiUser_S">[1]IMU!#REF!</definedName>
    <definedName name="MesaPhiUser_W">[1]IMU!#REF!</definedName>
    <definedName name="MesaPsiUser_S">[1]IMU!#REF!</definedName>
    <definedName name="MesaPsiUser_W">[1]IMU!#REF!</definedName>
    <definedName name="MesaThetaUser_S">[1]IMU!#REF!</definedName>
    <definedName name="MesaThetaUser_W">[1]IMU!#REF!</definedName>
    <definedName name="message_HPTS_ident">[1]REF!$J$85:$J$88</definedName>
    <definedName name="message_MM_ident">[1]REF!$J$80:$J$82</definedName>
    <definedName name="MMU_gradient_transmission_mode">[1]REF!$K$112:$K$115</definedName>
    <definedName name="mode_to_display_plan_area">[1]REF!$H$76:$H$91</definedName>
    <definedName name="modulation_mode">[1]REF!$H$71:$H$73</definedName>
    <definedName name="Mon_Inh_Level">[1]REF!$K$70:$K$74</definedName>
    <definedName name="Mon_Result">[1]REF!$L$35:$L$38</definedName>
    <definedName name="monitoring_degraded_behaviour">[1]REF!$K$46:$K$48</definedName>
    <definedName name="Monitoring_List">[1]Monitoring_list!$A$2:$AP$17</definedName>
    <definedName name="MOVEMENT_STATE">[1]REF!$M$68:$M$71</definedName>
    <definedName name="msg_end_point">[1]REF!$M$105:$M$108</definedName>
    <definedName name="msg_FIFO_buffer_full_mgt">[1]REF!$L$113:$L$114</definedName>
    <definedName name="msg_transmission_direction">[1]REF!$N$2:$N$3</definedName>
    <definedName name="Mult_10s_S">[1]IMU!$C$22</definedName>
    <definedName name="Mult_10s_W">[1]IMU!$C$88</definedName>
    <definedName name="Mult_20s_S">[1]IMU!$C$23</definedName>
    <definedName name="Mult_20s_W">[1]IMU!$C$89</definedName>
    <definedName name="Mult_30s_S">[1]IMU!$C$24</definedName>
    <definedName name="Mult_30s_W">[1]IMU!$C$90</definedName>
    <definedName name="Mult_40s_S">[1]IMU!$C$25</definedName>
    <definedName name="Mult_40s_W">[1]IMU!$C$91</definedName>
    <definedName name="Mult_50s_S">[1]IMU!$C$26</definedName>
    <definedName name="Mult_50s_W">[1]IMU!$C$92</definedName>
    <definedName name="Mult_5s_S">[1]IMU!$C$21</definedName>
    <definedName name="Mult_5s_W">[1]IMU!$C$87</definedName>
    <definedName name="Mult_60s_S">[1]IMU!$C$27</definedName>
    <definedName name="Mult_60s_W">[1]IMU!$C$93</definedName>
    <definedName name="Mult_sup60s_S">[1]IMU!$C$28</definedName>
    <definedName name="Mult_sup60s_W">[1]IMU!$C$94</definedName>
    <definedName name="multi_config_RTMV2_isUsed">[1]RTMV2!$E$16</definedName>
    <definedName name="multi_configuration_isUsed">[1]COMET!$E$19</definedName>
    <definedName name="MVB_COMET_INTERNAL_DATA_PERIODIC_PUBLICATION">[1]COMET!$F$201:$I$206</definedName>
    <definedName name="MVB_CONF_AUTH">[1]Cockpit!$O$20</definedName>
    <definedName name="MVB_CONF_DATE">[1]Cockpit!$N$20</definedName>
    <definedName name="MVB_GW_Message_User">[1]Default_CAN_MVB!$C$17:$R$30</definedName>
    <definedName name="MVB_IN_TIU_List">[1]MVB.ProcessData!$AD$2:OFFSET([1]MVB.ProcessData!$AD$2,[1]MVB.ProcessData!$AC$1,5)</definedName>
    <definedName name="MVB_input_mask_meaning">[1]REF!$K$36</definedName>
    <definedName name="MVB_layer_activated">[1]REF!$J$50:$J$52</definedName>
    <definedName name="MVB_OK_AUTH">[1]Cockpit!$O$18</definedName>
    <definedName name="MVB_OK_DATE">[1]Cockpit!$N$18</definedName>
    <definedName name="MVB_OUT_TIU_List">[1]MVB.ProcessData!$AK$2:OFFSET([1]MVB.ProcessData!$AK$2,[1]MVB.ProcessData!$AJ$1,5)</definedName>
    <definedName name="MVB_output_mask_meaning">[1]REF!$K$39:$K$43</definedName>
    <definedName name="MVB_XML_AUTH">[1]Cockpit!$O$22</definedName>
    <definedName name="MVB_XML_DATE">[1]Cockpit!$N$22</definedName>
    <definedName name="MVBData">[1]MVB.ProcessData!$A$2:$AA$321</definedName>
    <definedName name="MVBDeviceList">[1]MVB.ProcessData!$AT$16:OFFSET([1]MVB.ProcessData!$AT$18,,[1]MVB.ProcessData!$AS$15)</definedName>
    <definedName name="MVBPortList">[1]MVB.ProcessData!$AT$9:OFFSET([1]MVB.ProcessData!$AT$13,,[1]MVB.ProcessData!$AS$8)</definedName>
    <definedName name="MVBTableFiledate">[1]Cockpit!$K$21</definedName>
    <definedName name="MVBTableFilename">[1]Cockpit!$K$19</definedName>
    <definedName name="n_COMET_sw_version">[1]Project!$E$768</definedName>
    <definedName name="N_command_generic_ATC2">'[1]Test Generic Outputs_ATC2'!$E$7</definedName>
    <definedName name="N_command_generic_ERTMS">'[1]Test Generic Outputs_ERTMS'!$E$7</definedName>
    <definedName name="N_command_generic_INAT">'[1]Test Generic Outputs_INAT'!$E$7</definedName>
    <definedName name="N_command_generic_ROUTER">'[1]Test Generic Outputs_ROUTER'!$E$7</definedName>
    <definedName name="N_command_generic_SCMT">'[1]Test Generic Outputs_SCMT'!$E$7</definedName>
    <definedName name="N_command_generic_TBL1P">'[1]Test Generic Outputs_TBL1P'!$E$7</definedName>
    <definedName name="N_default_output_masks">'[1]Test Default Outputs'!$A$6</definedName>
    <definedName name="n_eqpt">'[1]Communication config.'!$E$10</definedName>
    <definedName name="N_function_directories">[1]CAN_MVB!$E$72</definedName>
    <definedName name="N_input_command_generic_SCMT">'[1]Test Generic Inputs_SCMT'!$E$7</definedName>
    <definedName name="N_input_generic_ATC2">'[1]Test Generic Inputs_ATC2'!$E$7</definedName>
    <definedName name="N_input_generic_ERTMS">'[1]Test Generic Inputs_ERTMS'!$E$7</definedName>
    <definedName name="N_input_generic_INAT">'[1]Test Generic Inputs_INAT'!$E$7</definedName>
    <definedName name="N_input_generic_ROUTER">'[1]Test Generic Inputs_ROUTER'!$E$7</definedName>
    <definedName name="N_input_state_value_TBL1P">'[1]Test Generic Inputs_TBL1P'!$E$7</definedName>
    <definedName name="N_IOs_to_monitor">'[1]test IO_to_monitor'!$B$7</definedName>
    <definedName name="N_lifesign_counter">[1]CAN_MVB!$E$97</definedName>
    <definedName name="n_MCR_func">'[1]Communication config.'!$E$48</definedName>
    <definedName name="n_MCS_func">'[1]Communication config.'!$E$37</definedName>
    <definedName name="N_msg_user_address">[1]CAN_MVB!$E$81</definedName>
    <definedName name="N_MVB_allowed_inputs">'[1]test MVB Inputs'!$A$5</definedName>
    <definedName name="N_MVB_allowed_outputs">'[1]test MVB Outputs'!$A$5</definedName>
    <definedName name="n_of_applicable_axleloadcat">'[1]Dynamic train data set'!$E$41</definedName>
    <definedName name="n_of_applicable_loadinggauge">'[1]Dynamic train data set'!$E$33</definedName>
    <definedName name="n_of_brake_position">'[1]Dynamic train data set'!$E$357</definedName>
    <definedName name="n_of_brake_type">'[1]Dynamic train data set'!$E$351</definedName>
    <definedName name="n_of_carriages_predef_val_nbr">'[1]Dynamic train data set'!$E$17</definedName>
    <definedName name="n_of_closed_desk_text_msgs">[1]Project!$E$704</definedName>
    <definedName name="n_of_config_EB_decel_spec_mdl">'[1]EB decel. models'!$A$4</definedName>
    <definedName name="n_of_config_normal_SB_models">'[1]Normal SB model'!$E$9</definedName>
    <definedName name="n_of_config_SB_decel_spec_mdl">'[1]SB decel. models'!$A$4</definedName>
    <definedName name="n_of_CORE_com_messages">'[1]Communication config.'!$E$76</definedName>
    <definedName name="n_of_CORE_com_msg_flow_groups">'[1]Communication config.'!$E$130</definedName>
    <definedName name="n_of_CORE_msg_merge_inputs">'[1]Communication config.'!$E$121</definedName>
    <definedName name="n_of_CORE_msg_merge_outputs">'[1]Communication config.'!$E$112</definedName>
    <definedName name="n_of_CORE_msg_split_inputs">'[1]Communication config.'!$E$96</definedName>
    <definedName name="n_of_CORE_msg_split_outputs">'[1]Communication config.'!$E$105</definedName>
    <definedName name="n_of_CPU">'[1]Communication config.'!$E$59</definedName>
    <definedName name="n_of_display_delay_text_msgs">[1]Project!$E$707</definedName>
    <definedName name="n_of_displaying_mode">[1]Project!$E$733</definedName>
    <definedName name="n_of_dynamic_train_data_sets">'[1]Dynamic train data set'!$E$4</definedName>
    <definedName name="n_of_error_LLRU_Config">'[1]CORE SIL0'!$E$58</definedName>
    <definedName name="N_of_Fixed_Data_Sets">'[1]ATC2'!$F$55:$BQ$55</definedName>
    <definedName name="N_of_Fixed_Data_Sets_INDEX">'[1]ATC2'!$E$53</definedName>
    <definedName name="n_of_fixed_train_data_sets">'[1]Fixed train data set'!$A$3</definedName>
    <definedName name="n_of_INAT">'[1]INAT Train type STM'!$E$13</definedName>
    <definedName name="n_of_inhibited_text_msgs">[1]Project!$E$701</definedName>
    <definedName name="n_of_IS_mode_text_msgs">[1]Project!$E$727</definedName>
    <definedName name="n_of_kn_minus_speed_pivot">'[1]Normal SB model'!$E$19</definedName>
    <definedName name="n_of_kn_plus_speed_pivot">'[1]Normal SB model'!$E$18</definedName>
    <definedName name="N_of_Languages">'[1]ATC2'!$E$62</definedName>
    <definedName name="n_of_nid_c_for_EB_release">[1]Project!$E$63</definedName>
    <definedName name="n_of_nid_c_online_monitoring">[1]Project!$E$14</definedName>
    <definedName name="n_of_nid_c_spec_parameters">[1]Development!$E$111</definedName>
    <definedName name="n_of_NTCs">[1]Project!$E$77</definedName>
    <definedName name="n_of_oper_train_category">'[1]Dynamic train data set'!$E$399</definedName>
    <definedName name="n_of_pivots_bp">'[1]Dynamic train data set'!$E$53</definedName>
    <definedName name="n_of_pivots_tl">'[1]Dynamic train data set'!$E$52</definedName>
    <definedName name="n_of_pivots_tl_1">'[1]Dynamic train data set'!$E$361</definedName>
    <definedName name="n_of_pivots_tl_2">'[1]Dynamic train data set'!$E$369</definedName>
    <definedName name="n_of_pivots_tl_3">'[1]Dynamic train data set'!$E$377</definedName>
    <definedName name="n_of_pivots_tl_total">'[1]Dynamic train data set'!$H$357</definedName>
    <definedName name="n_of_pivots_tma">'[1]Dynamic train data set'!$E$413</definedName>
    <definedName name="n_of_rules_al_mts">'[1]Dynamic train data set'!$E$692</definedName>
    <definedName name="n_of_rules_bt_mts">'[1]Dynamic train data set'!$E$687</definedName>
    <definedName name="n_of_rules_mts_bp_tl">'[1]Dynamic train data set'!$E$697</definedName>
    <definedName name="n_of_rules_nc_nbco">'[1]Dynamic train data set'!$E$703</definedName>
    <definedName name="n_of_set_RBC_spec_parameters">[1]Development!$E$112</definedName>
    <definedName name="n_of_spanish_nid_c">[1]Project!$E$603</definedName>
    <definedName name="n_of_specific_radio_network_id">[1]Development!$E$110</definedName>
    <definedName name="n_of_stored_packet_203">[1]Project!$E$161</definedName>
    <definedName name="N_of_Texts">'[1]ATC2'!$E$63</definedName>
    <definedName name="n_of_TIU_com_messages">'[1]Communication config.'!$E$175</definedName>
    <definedName name="n_of_TIU_com_msg_flow_groups">'[1]Communication config.'!$E$229</definedName>
    <definedName name="n_of_TIU_msg_merge_inputs">'[1]Communication config.'!$E$220</definedName>
    <definedName name="n_of_TIU_msg_merge_outputs">'[1]Communication config.'!$E$211</definedName>
    <definedName name="n_of_TIU_msg_split_inputs">'[1]Communication config.'!$E$195</definedName>
    <definedName name="n_of_TIU_msg_split_outputs">'[1]Communication config.'!$E$204</definedName>
    <definedName name="n_of_train_subset">'[1]Dynamic train data set'!$E$445</definedName>
    <definedName name="n_of_vehicle">'[1]Hardware plug'!$E$14</definedName>
    <definedName name="n_P2P_func">'[1]Communication config.'!$E$21</definedName>
    <definedName name="n_RTMV2_sw_version">[1]Project!$E$770</definedName>
    <definedName name="N_sink_port">[1]CAN_MVB!$E$57</definedName>
    <definedName name="N_source_port">[1]CAN_MVB!$E$65</definedName>
    <definedName name="N_station_directories">[1]CAN_MVB!$E$76</definedName>
    <definedName name="N_TIU_allowed_inputs">'[1]Test Binary Inputs'!$A$6</definedName>
    <definedName name="N_TIU_allowed_outputs">'[1]Test Binary Outputs'!$A$6</definedName>
    <definedName name="nb_STM_on_GTW">[1]Default_CAN_MVB!$C$57</definedName>
    <definedName name="nbr_of_external_applications">'[1]Test Cabling config'!$E$14</definedName>
    <definedName name="NETB_STATE">[1]REF!$M$2:$M$5</definedName>
    <definedName name="NETT_STATE">[1]REF!$L$97:$L$100</definedName>
    <definedName name="network_id">[1]Project!$E$46</definedName>
    <definedName name="network_registration">[1]REF!$N$68:$N$70</definedName>
    <definedName name="nid_c_packet_1">[1]Project!$F$166:$AK$166</definedName>
    <definedName name="Nmax_EVCB_COMET_TT_COMET_Internal_Data_Periodic_Publication">[1]COMET!$D$200</definedName>
    <definedName name="Nmax_Manual_I_ATC2">'[1]Test Generic Inputs_ATC2'!$E$31</definedName>
    <definedName name="Nmax_Manual_I_ERTMS">'[1]Test Generic Inputs_ERTMS'!$E$708</definedName>
    <definedName name="Nmax_Manual_I_INAT">'[1]Test Generic Inputs_INAT'!$E$1649</definedName>
    <definedName name="Nmax_Manual_I_Num">'[1]Test Generic Numeric Inputs'!$D$243</definedName>
    <definedName name="Nmax_Manual_I_ROUTER">'[1]Test Generic Inputs_ROUTER'!$E$1146</definedName>
    <definedName name="Nmax_Manual_I_SCMT">'[1]Test Generic Inputs_SCMT'!$E$401</definedName>
    <definedName name="Nmax_Manual_I_Stream">'[1]Test Generic Stream Inputs'!$D$243</definedName>
    <definedName name="Nmax_Manual_I_TBL">'[1]Test Generic Inputs_TBL1P'!$E$227</definedName>
    <definedName name="Nmax_Manual_O_ATC2">'[1]Test Generic Outputs_ATC2'!$E$32</definedName>
    <definedName name="Nmax_Manual_O_ERTMS">'[1]Test Generic Outputs_ERTMS'!$E$522</definedName>
    <definedName name="Nmax_Manual_O_INAT">'[1]Test Generic Outputs_INAT'!$E$981</definedName>
    <definedName name="Nmax_Manual_O_Num">'[1]Test Generic Numeric Outputs'!$D$242</definedName>
    <definedName name="Nmax_Manual_O_ROUTER">'[1]Test Generic Outputs_ROUTER'!$E$1462</definedName>
    <definedName name="Nmax_Manual_O_SCMT">'[1]Test Generic Outputs_SCMT'!$E$246</definedName>
    <definedName name="Nmax_Manual_O_Stream">'[1]Test Generic Stream Outputs'!$D$240</definedName>
    <definedName name="Nmax_Manual_O_TBL">'[1]Test Generic Outputs_TBL1P'!$E$258</definedName>
    <definedName name="Nmax_Manual_O_TBL1P">'[1]Test Generic Outputs_TBL1P'!$E$258</definedName>
    <definedName name="Nmax_Numeric_I">'[1]Test Generic Numeric Inputs'!$A$6</definedName>
    <definedName name="Nmax_Numeric_O">'[1]Test Generic Numeric Outputs'!$A$6</definedName>
    <definedName name="Nmax_Stream_I">'[1]Test Generic Stream Inputs'!$A$6</definedName>
    <definedName name="Nmax_Stream_O">'[1]Test Generic Stream Outputs'!$A$6</definedName>
    <definedName name="NmaxINAT">[1]Default_Parameters!$C$669</definedName>
    <definedName name="NO_MSG_CREATED_MSG_CREATED">[1]REF!$I$56:$I$57</definedName>
    <definedName name="NO_YES">[1]REF!$I$31:$I$32</definedName>
    <definedName name="NONE_CORE_TIU">[1]REF!$K$81:$K$83</definedName>
    <definedName name="NONE_EVEN_ODD">[1]REF!$L$108:$L$110</definedName>
    <definedName name="NONE_PRESENT">[1]REF!$I$52:$I$53</definedName>
    <definedName name="NOT_ACTIVATED_ACTIVATED">[1]REF!$E$2:$E$3</definedName>
    <definedName name="NOT_ACTIVE_ACTIVE">[1]REF!$L$47:$L$48</definedName>
    <definedName name="NOT_CONFIGURED_CONFIGURED">[1]REF!$G$2:$G$3</definedName>
    <definedName name="NOT_DISPLAYED_DISPLAYED">[1]REF!$I$18:$I$19</definedName>
    <definedName name="NOT_FITTED_FITTED">[1]REF!$J$42:$J$43</definedName>
    <definedName name="NOT_INHIBITED_INHIBITED">[1]REF!$F$2:$F$3</definedName>
    <definedName name="NOT_USED_DMI_FILIO">[1]REF!$H$94:$H$96</definedName>
    <definedName name="NOT_USED_DRU_FILIO">[1]REF!$H$104:$H$106</definedName>
    <definedName name="NOT_USED_SDMU_FILIO">[1]REF!$H$99:$H$101</definedName>
    <definedName name="NOT_USED_USED">[1]REF!$C$2:$C$3</definedName>
    <definedName name="NstandardMonitorings">[1]Monitoring_list!$B$32</definedName>
    <definedName name="num_BTM_valid_configs">[1]Project!$E$754</definedName>
    <definedName name="num_CPBI_valid_configs">[1]Project!$E$757</definedName>
    <definedName name="num_CTL_valid_configs">[1]Project!$E$764</definedName>
    <definedName name="NUM_ERTMS_IN_USED">[1]Default_numeric_inputs!$A$1</definedName>
    <definedName name="NUM_ERTMS_OUT_USED">[1]Default_numeric_outputs!$B$1</definedName>
    <definedName name="num_euroloop_S21_valid_configs">[1]Project!$E$766</definedName>
    <definedName name="num_RTM_valid_configs">[1]Project!$E$759</definedName>
    <definedName name="Numeric_Inputs">[1]Default_numeric_inputs!$B$3:$O$19</definedName>
    <definedName name="numeric_kind">[1]REF!$K$95:$K$97</definedName>
    <definedName name="Numeric_Outputs">[1]Default_numeric_outputs!$B$3:$N$42</definedName>
    <definedName name="Numeric_Router_Used">[1]Default_numeric_outputs!$E$1</definedName>
    <definedName name="ODO_calculation_log_level">[1]REF!$I$45:$I$49</definedName>
    <definedName name="ODO_kodo">[1]REF!$I$35:$I$38</definedName>
    <definedName name="OFF_ON">[1]REF!$L$24:$L$25</definedName>
    <definedName name="online_monitoring_of_ETCS_trk">[1]REF!$I$96:$I$98</definedName>
    <definedName name="OtherFastPrepFileName">[1]Cockpit!$K$24</definedName>
    <definedName name="OutINAT">[1]Default_INAT_Outputs!$B$2:$K$45</definedName>
    <definedName name="p_feed">[1]REF!$O$95:$O$96</definedName>
    <definedName name="P2P_Func_Source">[1]Communication_eqpt_def!$C$14:$H$25</definedName>
    <definedName name="P2P_STM_Func_Source">[1]Communication_eqpt_def!$C$48:$K$59</definedName>
    <definedName name="P2P_STM_Info">[1]Communication_eqpt_def!$B$28:$G$44</definedName>
    <definedName name="p47_filter_vote_sensibility">[1]REF!$O$65:$O$68</definedName>
    <definedName name="Panto_Coherency">[1]REF!$L$40:$L$44</definedName>
    <definedName name="panto_position_method">[1]REF!$K$17:$K$20</definedName>
    <definedName name="PANTO_STATE">[1]REF!$M$44:$M$47</definedName>
    <definedName name="Parameter10_S">[1]IMU!$C$52</definedName>
    <definedName name="Parameter10_W">[1]IMU!$C$118</definedName>
    <definedName name="Parameter11_S">[1]IMU!$C$53</definedName>
    <definedName name="Parameter11_W">[1]IMU!$C$119</definedName>
    <definedName name="Parameter12_S">[1]IMU!$C$54</definedName>
    <definedName name="Parameter12_W">[1]IMU!$C$120</definedName>
    <definedName name="Parameter13_S">[1]IMU!$C$55</definedName>
    <definedName name="Parameter13_W">[1]IMU!$C$121</definedName>
    <definedName name="Parameter14_S">[1]IMU!$C$56</definedName>
    <definedName name="Parameter14_W">[1]IMU!$C$122</definedName>
    <definedName name="ParamList">[1]XML_Reader!$B$5:$AN$3593</definedName>
    <definedName name="part_train_to_consider_cond_ES">[1]REF!$H$55:$H$57</definedName>
    <definedName name="PARTLY_FULLY">[1]REF!$N$17:$N$18</definedName>
    <definedName name="PATTERN_DETECTED_UNDETECTED">[1]REF!$K$51:$K$52</definedName>
    <definedName name="period_between_antenna_tests">[1]REF!$N$83:$N$84</definedName>
    <definedName name="PN_ETSAN_1_TO_TIU">[1]MVB.ProcessData!$AT$33</definedName>
    <definedName name="PN_ETSAN_2_TO_TIU">[1]MVB.ProcessData!$AV$33</definedName>
    <definedName name="PN_ETSAN_DIVIDER_TO_TIU">[1]MVB.ProcessData!$AU$33</definedName>
    <definedName name="Port_Display_1">[1]IO_listing!$O$83:OFFSET([1]IO_listing!$O$83,0,MAX([1]IO_listing!$M$83,[1]IO_listing!$K$83))</definedName>
    <definedName name="Port_Display_Virtual">[1]IO_listing!$O$79:$EL$79</definedName>
    <definedName name="port_failed_behaviour">[1]REF!$K$100:$K$103</definedName>
    <definedName name="position_ref">[1]REF!$O$113:$O$114</definedName>
    <definedName name="POSITIVE_NEGATIVE">[1]REF!$H$35:$H$36</definedName>
    <definedName name="PR_CHECK_AUTH">[1]Cockpit!$O$56</definedName>
    <definedName name="PR_CHECK_CD_AUTH">[1]Cockpit!$O$13</definedName>
    <definedName name="PR_CHECK_CD_DATE">[1]Cockpit!$N$13</definedName>
    <definedName name="PR_CHECK_DATE">[1]Cockpit!$N$56</definedName>
    <definedName name="PR_List_CD_NOK">[1]Cockpit!$K$16</definedName>
    <definedName name="PR_List_CD_WARN">[1]Cockpit!$K$17</definedName>
    <definedName name="PR_List_NOK">[1]Cockpit!$L$58</definedName>
    <definedName name="PR_List_WARN">[1]Cockpit!$L$59</definedName>
    <definedName name="PRCheck">'[1]Passive Rules Check'!$C$5:$C$180</definedName>
    <definedName name="predefined_text_ack">[1]REF!$K$61:$K$62</definedName>
    <definedName name="predefined_value_is_displayed">[1]REF!$N$73:$N$75</definedName>
    <definedName name="PROFIBUS_MVB">[1]REF!$K$2:$K$3</definedName>
    <definedName name="protocol_ident">[1]REF!$J$91:$J$101</definedName>
    <definedName name="PRulesData">'[1]Passive Rules Check'!$A$183:$O$1295</definedName>
    <definedName name="q_addr">[1]REF!$M$74:$M$77</definedName>
    <definedName name="q_addr_channel2">[1]Development!$E$1290</definedName>
    <definedName name="R__EVC_MVB_GW_TTC_Sink_Pro_Data">[1]CAN_MVB!$F$58:$U$63</definedName>
    <definedName name="R__EVC_MVB_GW_TTC_Source_Pro_Data">[1]CAN_MVB!$F$66:$U$68</definedName>
    <definedName name="radar_monitoring">[1]REF!$H$60:$H$63</definedName>
    <definedName name="radio_network_modification_way">[1]REF!$M$111:$M$113</definedName>
    <definedName name="RAISE_LOWER_PANTOGRAPH">[1]REF!$L$12:$L$13</definedName>
    <definedName name="RANGE_24v_inhibition_is_active">[1]Project!$F$622:$I$622</definedName>
    <definedName name="reaction_to_DMI_failure">[1]REF!$L$2:$L$5</definedName>
    <definedName name="RMR_function_is_used">[1]COMET!$E$230</definedName>
    <definedName name="ROUTER_I_Used">'[1]Test Generic Inputs_ROUTER'!$A$4</definedName>
    <definedName name="ROUTER_O_Used">'[1]Test Generic Outputs_ROUTER'!$A$4</definedName>
    <definedName name="ROUTER_tp_order">'[1]Test Generic Outputs_ROUTER'!$D$3</definedName>
    <definedName name="Router_tp_order_I">'[1]Test Generic Inputs_ROUTER'!$D$3</definedName>
    <definedName name="safe_vnom_processing">[1]REF!$I$8:$I$9</definedName>
    <definedName name="safety_level">[1]REF!$J$14:$J$16</definedName>
    <definedName name="SB_STATE">[1]REF!$L$85:$L$88</definedName>
    <definedName name="SBDECEL_Model">'[1]SB decel. models'!$B$7:$L$13</definedName>
    <definedName name="SBFb_is_implemented">[1]REF!$N$32:$N$34</definedName>
    <definedName name="SCMT_I_Used">'[1]Test Generic Inputs_SCMT'!$A$4</definedName>
    <definedName name="SCMT_O_Used">'[1]Test Generic Outputs_SCMT'!$A$4</definedName>
    <definedName name="SCMT_tp_order">'[1]Test Generic Outputs_SCMT'!$D$3</definedName>
    <definedName name="SCMT_tp_order_I">'[1]Test Generic Inputs_SCMT'!$D$3</definedName>
    <definedName name="SERIAL_PORT_NUMBER">[1]Default_MVB_out!$B$15</definedName>
    <definedName name="SHARED_ACTIONS">[1]REF!$H$157:$H$159</definedName>
    <definedName name="signal_profile">[1]REF!$H$13:$H$17</definedName>
    <definedName name="SINGS_DEFAULT_VALUES">'[1]SINGS_WINGS COMPUTATION'!$B$135:$B$261</definedName>
    <definedName name="SINGS_WINGS_AUTHOR">[1]Cockpit!$O$65</definedName>
    <definedName name="SINGS_WINGS_DATE">[1]Cockpit!$N$65</definedName>
    <definedName name="sink_connect_type">[1]REF!$M$85:$M$93</definedName>
    <definedName name="SLEEPING_STATE">[1]REF!$M$8:$M$11</definedName>
    <definedName name="slip_slide_sensitivity">[1]REF!$H$6:$H$10</definedName>
    <definedName name="source_data_type">[1]REF!$M$96:$M$102</definedName>
    <definedName name="SOURCE_MEMORY_MASK_SINGS">'[1]SINGS_WINGS COMPUTATION'!$B$267:$B$395</definedName>
    <definedName name="SOURCE_MEMORY_MASK_WINGS">'[1]SINGS_WINGS COMPUTATION'!$B$399:$B$527</definedName>
    <definedName name="spd_variation_from_EBI_to_EBD">[1]REF!$N$42:$N$44</definedName>
    <definedName name="specific_nat_eqpt_need">[1]REF!$M$80:$M$82</definedName>
    <definedName name="ss_sensor_kind">[1]REF!$H$20:$H$24</definedName>
    <definedName name="ss_version">[1]REF!$H$27:$H$28</definedName>
    <definedName name="STD_XML_CREATE_AUTH">[1]Cockpit!$O$48</definedName>
    <definedName name="STD_XML_CREATE_DATE">[1]Cockpit!$N$48</definedName>
    <definedName name="STDXMLError">[1]Cockpit!$K$49</definedName>
    <definedName name="STDXMLFileName">[1]Cockpit!$K$48</definedName>
    <definedName name="STM_baseline">[1]REF!$H$116:$H$117</definedName>
    <definedName name="STM_failure_txt_msg_ack">[1]REF!$O$127:$O$128</definedName>
    <definedName name="STR_ERTMS_IN_USED">[1]Default_stream_outputs!$C$1</definedName>
    <definedName name="STR_ERTMS_OUT_USED">[1]Default_stream_outputs!$B$1</definedName>
    <definedName name="Stream_in_default_val_1">'[1]Test Generic Stream Inputs'!$O$8:$BZ$38</definedName>
    <definedName name="Stream_in_default_val_2">'[1]Test Generic Stream Inputs'!$O$41:$BZ$71</definedName>
    <definedName name="Stream_in_default_val_3">'[1]Test Generic Stream Inputs'!$O$74:$BZ$104</definedName>
    <definedName name="Stream_in_default_val_4">'[1]Test Generic Stream Inputs'!$O$107:$BZ$137</definedName>
    <definedName name="Stream_in_default_val_5">'[1]Test Generic Stream Inputs'!$O$140:$BZ$170</definedName>
    <definedName name="Stream_in_default_val_6">'[1]Test Generic Stream Inputs'!$O$173:$BZ$203</definedName>
    <definedName name="Stream_in_default_val_7">'[1]Test Generic Stream Inputs'!$O$206:$BZ$236</definedName>
    <definedName name="Stream_Inputs">[1]Default_stream_inputs!$B$1:$L$13</definedName>
    <definedName name="Stream_Outputs">[1]Default_stream_outputs!$B$2:$L$17</definedName>
    <definedName name="Stream_Router_Used">[1]Default_stream_outputs!$E$1</definedName>
    <definedName name="supervised_pos">[1]REF!$O$108:$O$110</definedName>
    <definedName name="supervised_speed">[1]REF!$O$104:$O$105</definedName>
    <definedName name="SYID_Errors">[1]Cockpit!$M$28</definedName>
    <definedName name="TBL1P_Default_Outputs">[1]Default_Default_Outputs!$C$76:$G$87</definedName>
    <definedName name="TBL1P_I_Used">'[1]Test Generic Inputs_TBL1P'!$A$4</definedName>
    <definedName name="TBL1P_Input_0">[1]Default_TBL1P_Inputs!$A$21:$J$30</definedName>
    <definedName name="TBL1P_Input_1">[1]Default_TBL1P_Inputs!$A$32:$J$41</definedName>
    <definedName name="TBL1P_Input_10">[1]Default_TBL1P_Inputs!$A$77:$J$86</definedName>
    <definedName name="TBL1P_Input_12">[1]Default_TBL1P_Inputs!$A$88:$L$98</definedName>
    <definedName name="TBL1P_Input_14">[1]Default_TBL1P_Inputs!$A$100:$J$109</definedName>
    <definedName name="TBL1P_Input_5">[1]Default_TBL1P_Inputs!$A$43:$J$52</definedName>
    <definedName name="TBL1P_Input_7">[1]Default_TBL1P_Inputs!$A$55:$J$64</definedName>
    <definedName name="TBL1P_Input_8">[1]Default_TBL1P_Inputs!$A$66:$J$75</definedName>
    <definedName name="TBL1P_O_Used">'[1]Test Generic Outputs_TBL1P'!$A$4</definedName>
    <definedName name="TBL1P_tp_order">'[1]Test Generic Outputs_TBL1P'!$D$3</definedName>
    <definedName name="TBL1P_tp_order_I">'[1]Test Generic Inputs_TBL1P'!$D$3</definedName>
    <definedName name="TCO_application_for_EVC_reset">[1]Project!$E$74</definedName>
    <definedName name="TCO_STATE">[1]REF!$L$91:$L$94</definedName>
    <definedName name="TEMPLATE_INTEGRITY_AUTHOR">[1]Cockpit!$O$4</definedName>
    <definedName name="TEMPLATE_INTEGRITY_AUTHOR_2">[1]Cockpit!$O$60</definedName>
    <definedName name="TEMPLATE_INTEGRITY_DATE">[1]Cockpit!$N$4</definedName>
    <definedName name="TEMPLATE_INTEGRITY_DATE_2">[1]Cockpit!$N$60</definedName>
    <definedName name="TEMPLATE_INTEGRITY_LIST_NOK">[1]Cockpit!$H$4</definedName>
    <definedName name="TEMPLATE_INTEGRITY_LIST_NOK_2">[1]Cockpit!$J$60</definedName>
    <definedName name="Test_Binary_Intputs">'[1]Test Binary Inputs'!$B$7:$AK$106</definedName>
    <definedName name="Test_Binary_Outputs">'[1]Test Binary Outputs'!$B$7:$AK$106</definedName>
    <definedName name="Test_Default_Outputs">'[1]Test Default Outputs'!$B$7:$BN$31</definedName>
    <definedName name="test_MVB_Inputs">'[1]test MVB Inputs'!$B$6:$I$37</definedName>
    <definedName name="test_MVB_Outputs">'[1]test MVB Outputs'!$B$6:$G$37</definedName>
    <definedName name="text_class">[1]REF!$O$78:$O$79</definedName>
    <definedName name="TILTING_STATE">[1]REF!$M$14:$M$17</definedName>
    <definedName name="TIU_allowed_inputs">'[1]Test Binary Inputs'!$A$7:$AK$106</definedName>
    <definedName name="TIU_allowed_outputs">'[1]Test Binary Outputs'!$A$7:$AK$106</definedName>
    <definedName name="TIU_Input_Port_Degraded_Behaviour">[1]MVB.ProcessData!$AT$2:$BJ$5</definedName>
    <definedName name="TIU_Input_Port_Endian">[1]MVB.ProcessData!$AT$21:$BJ$22</definedName>
    <definedName name="TIU_Monitoring_Latched">'[1]Default_Test Binary Outputs'!$C$151:$AG$170</definedName>
    <definedName name="TIU_Output_Port_Endian">[1]MVB.ProcessData!$AT$24:$BJ$25</definedName>
    <definedName name="TRACK_COND_ANTICIPATION_SELECT">[1]REF!$J$143:$J$144</definedName>
    <definedName name="track_condition_type">[1]REF!$I$12:$I$14</definedName>
    <definedName name="TRAIN_INTEGRITY">[1]REF!$L$73:$L$76</definedName>
    <definedName name="Train_Type_Name">[1]Fixed_Parameters!$E$429</definedName>
    <definedName name="train_type_UIC">'[1]Hardware plug'!$E$8</definedName>
    <definedName name="TRANSITION_TO_MONITOR">[1]REF!$I$101:$I$102</definedName>
    <definedName name="trn_mgt_in_data_entry">[1]REF!$H$43:$H$44</definedName>
    <definedName name="trn_type_data_entry">[1]REF!$H$121:$H$123</definedName>
    <definedName name="TRU_message_data_ident">[1]REF!$K$6:$K$9</definedName>
    <definedName name="type_of_traction_system_acquisition">[1]REF!$J$148:$J$151</definedName>
    <definedName name="type_of_train_length_data_entry">[1]REF!$J$46:$J$47</definedName>
    <definedName name="unknown_mask_behaviour">[1]REF!$K$106:$K$109</definedName>
    <definedName name="UNSIGNED_SIGNED_BIPOLAR">[1]REF!$K$27:$K$29</definedName>
    <definedName name="use_data_from_train_interface">[1]REF!$H$47:$H$52</definedName>
    <definedName name="v_est_on_FFFIS_STM">[1]REF!$J$176:$J$177</definedName>
    <definedName name="v_maxtrain">'[1]Dynamic train data set'!$E$21</definedName>
    <definedName name="v_maxtrain_range_max">'[1]Dynamic train data set'!$E$26</definedName>
    <definedName name="VAEMin_10s_S">[1]IMU!$C$31</definedName>
    <definedName name="VAEMin_10s_W">[1]IMU!$C$97</definedName>
    <definedName name="VAEMin_20s_S">[1]IMU!$C$32</definedName>
    <definedName name="VAEMin_20s_W">[1]IMU!$C$98</definedName>
    <definedName name="VAEMin_30s_S">[1]IMU!$C$33</definedName>
    <definedName name="VAEMin_30s_W">[1]IMU!$C$99</definedName>
    <definedName name="VAEMin_40s_S">[1]IMU!$C$34</definedName>
    <definedName name="VAEMin_40s_W">[1]IMU!$C$100</definedName>
    <definedName name="VAEMin_50s_S">[1]IMU!$C$35</definedName>
    <definedName name="VAEMin_50s_W">[1]IMU!$C$101</definedName>
    <definedName name="VAEMin_5s_S">[1]IMU!$C$30</definedName>
    <definedName name="VAEMin_5s_W">[1]IMU!$C$96</definedName>
    <definedName name="VAEMin_60s_S">[1]IMU!$C$36</definedName>
    <definedName name="VAEMin_60s_W">[1]IMU!$C$102</definedName>
    <definedName name="VAEMin_sup60s_S">[1]IMU!$C$37</definedName>
    <definedName name="VAEMin_sup60s_W">[1]IMU!$C$103</definedName>
    <definedName name="VaeNTpond_S">[1]IMU!$C$29</definedName>
    <definedName name="vaeNTpond_W">[1]IMU!$C$95</definedName>
    <definedName name="vaeTpond_S">[1]IMU!$C$19</definedName>
    <definedName name="vaeTpond_W">[1]IMU!$C$85</definedName>
    <definedName name="vaeTpondLost_S">[1]IMU!$C$20</definedName>
    <definedName name="vaeTpondLost_W">[1]IMU!$C$86</definedName>
    <definedName name="VD_Errors">[1]Cockpit!$M$27</definedName>
    <definedName name="VD_Range">[1]Vehicle_description!$C$2:$D$117</definedName>
    <definedName name="VerifyXMLAuthor">[1]Cockpit!$O$62</definedName>
    <definedName name="VerifyXMLDate">[1]Cockpit!$N$62</definedName>
    <definedName name="VIGILANCE_ACTIVATION_STATE">[1]REF!$M$32:$M$35</definedName>
    <definedName name="VIGILANCE_STATE">[1]REF!$M$26:$M$29</definedName>
    <definedName name="vnom_processing">[1]REF!$I$2:$I$5</definedName>
    <definedName name="WINGS_DEFAULT_VALUES">'[1]SINGS_WINGS COMPUTATION'!$B$3:$B$129</definedName>
    <definedName name="XML_CREATE_AUTH">[1]Cockpit!$O$70</definedName>
    <definedName name="XML_CREATE_DATE">[1]Cockpit!$N$70</definedName>
    <definedName name="XMLError">[1]Cockpit!$I$71</definedName>
    <definedName name="XMLFileName">[1]Cockpit!$I$70</definedName>
    <definedName name="XSDValidation">[1]Cockpit!$I$72</definedName>
    <definedName name="acc3d_privileged_axis" localSheetId="0">'Train type (2)'!$E$396</definedName>
    <definedName name="circuit_breaker_closing_time" localSheetId="0">'Train type (2)'!$E$448</definedName>
    <definedName name="circuit_breaker_opening_time" localSheetId="0">'Train type (2)'!$E$446</definedName>
    <definedName name="declared_kind_of_stm_tests" localSheetId="0">'Train type (2)'!$F$142:$Q$142</definedName>
    <definedName name="delay_to_cut_off_traction" localSheetId="0">'Train type (2)'!$E$452</definedName>
    <definedName name="EB_application_monitor_timer" localSheetId="0">'Train type (2)'!$E$423</definedName>
    <definedName name="EB_application_time" localSheetId="0">'Train type (2)'!$E$419</definedName>
    <definedName name="EB_release_monitor_timer" localSheetId="0">'Train type (2)'!$E$424</definedName>
    <definedName name="EB_release_time" localSheetId="0">'Train type (2)'!$E$420</definedName>
    <definedName name="EVC_delay_to_intervene" localSheetId="0">'Train type (2)'!$E$617</definedName>
    <definedName name="EVCB_FILIO_TT_Config" localSheetId="0">'Train type (2)'!$F$474:$F$505</definedName>
    <definedName name="EVCB_TIU_TTC_AT_Command_Info" localSheetId="0">'Train type (2)'!$J$976:$N$980</definedName>
    <definedName name="EVCC_Config_STM_Identity_Info" localSheetId="0">'Train type (2)'!$F$126:$Q$152</definedName>
    <definedName name="GET_MOUNTED_EQPT_FROM_ENTRY" localSheetId="0">'Train type (2)'!$E$260</definedName>
    <definedName name="M_VOLTAGE_LIST" localSheetId="0">'Train type (2)'!$F$38:$AJ$38</definedName>
    <definedName name="n_of_AT_cmd" localSheetId="0">'Train type (2)'!$I$976</definedName>
    <definedName name="n_of_brake_degraded_status" localSheetId="0">'Train type (2)'!$E$609</definedName>
    <definedName name="n_of_del_conv_models" localSheetId="0">'Train type (2)'!$E$52</definedName>
    <definedName name="n_of_EVCC_TT_AFB_interface" localSheetId="0">'Train type (2)'!$E$624</definedName>
    <definedName name="n_of_incoming_port" localSheetId="0">'Train type (2)'!$E$460</definedName>
    <definedName name="n_of_l_train_value" localSheetId="0">'Train type (2)'!$E$613</definedName>
    <definedName name="n_of_levels_train_is_fit_for" localSheetId="0">'Train type (2)'!$E$240</definedName>
    <definedName name="n_of_nid_xusers_for_asd_function_info" localSheetId="0">'Train type (2)'!$E$298</definedName>
    <definedName name="n_of_nid_xusers_serial_link" localSheetId="0">'Train type (2)'!$E$295</definedName>
    <definedName name="n_of_on_board_phone" localSheetId="0">'Train type (2)'!$E$16</definedName>
    <definedName name="n_of_outgoing_port" localSheetId="0">'Train type (2)'!$E$468</definedName>
    <definedName name="n_of_SB_delay_conv_models" localSheetId="0">'Train type (2)'!$E$50</definedName>
    <definedName name="n_of_traction_system" localSheetId="0">'Train type (2)'!$E$36</definedName>
    <definedName name="n_of_train_conf_for_EUROKVB" localSheetId="0">'Train type (2)'!$E$608</definedName>
    <definedName name="n_of_TRU_MVB_message_data" localSheetId="0">'Train type (2)'!$E$681</definedName>
    <definedName name="num_MVB_valid_configs" localSheetId="0">'Train type (2)'!$E$711</definedName>
    <definedName name="num_ODO_valid_CONFIGS" localSheetId="0">'Train type (2)'!$E$686</definedName>
    <definedName name="OTBL_nid_STM" localSheetId="0">'Train type (2)'!$G$567</definedName>
    <definedName name="pantograph_lowering_time" localSheetId="0">'Train type (2)'!$E$434</definedName>
    <definedName name="pantograph_raising_time" localSheetId="0">'Train type (2)'!$E$436</definedName>
    <definedName name="Plug_Version_Ident" localSheetId="0">'Train type (2)'!$E$20:$E$24</definedName>
    <definedName name="rel_spd_announcement_active" localSheetId="0">'Train type (2)'!$F$635</definedName>
    <definedName name="safe_vnom_processing_value" localSheetId="0">'Train type (2)'!$E$620</definedName>
    <definedName name="SB_application_time" localSheetId="0">'Train type (2)'!$E$421</definedName>
    <definedName name="SB_Conv_Models" localSheetId="0">'Train type (2)'!$F$54:$M$71</definedName>
    <definedName name="SB_release_time" localSheetId="0">'Train type (2)'!$E$422</definedName>
    <definedName name="SERIAL_SENSOR_1_POSITION" localSheetId="0">'Train type (2)'!$F$384</definedName>
    <definedName name="SERIAL_SENSOR_2_POSITION" localSheetId="0">'Train type (2)'!$G$384</definedName>
    <definedName name="speed_max" localSheetId="0">'Train type (2)'!$E$405</definedName>
    <definedName name="ss_sensor_kind_1" localSheetId="0">'Train type (2)'!$F$382</definedName>
    <definedName name="ss_sensor_kind_2" localSheetId="0">'Train type (2)'!$G$382</definedName>
    <definedName name="STM_Nmax" localSheetId="0">'Train type (2)'!$E$127</definedName>
    <definedName name="time_to_cut_traction_coef" localSheetId="0">#REF!</definedName>
    <definedName name="TIU_TT_Incoming_Port_Interface" localSheetId="0">'Train type (2)'!$F$461:$W$466</definedName>
    <definedName name="TIU_TT_Outgoing_Port_Interface" localSheetId="0">'Train type (2)'!$F$469:$X$471</definedName>
    <definedName name="tract_cut_off_appl_monit_tmr" localSheetId="0">'Train type (2)'!$E$429</definedName>
    <definedName name="tract_cut_off_appl_time" localSheetId="0">'Train type (2)'!$E$427</definedName>
    <definedName name="tract_cut_off_for_pwrlss_sct_C" localSheetId="0">'Train type (2)'!$E$454</definedName>
    <definedName name="tract_cut_off_for_pwrlss_sct_P" localSheetId="0">'Train type (2)'!$E$453</definedName>
    <definedName name="tract_cut_off_rels_time" localSheetId="0">'Train type (2)'!$E$428</definedName>
    <definedName name="train_doors_management_function" localSheetId="0">'Train type (2)'!$E$249</definedName>
    <definedName name="train_is_service_brake_fitted" localSheetId="0">'Train type (2)'!$E$32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DELORY Francois -EXT</author>
    <author>BILLAUX Thomas -EXT</author>
  </authors>
  <commentList>
    <comment ref="D133" authorId="0">
      <text>
        <r>
          <rPr>
            <b/>
            <sz val="8"/>
            <rFont val="Tahoma"/>
            <charset val="134"/>
          </rPr>
          <t xml:space="preserve">extract from CR=
In current implementation, for safety reason, CORE &amp; TIU ASW transform to final disconnection any temporary disconnection detected on the FFFIS STM connections to STM Control/TIU/BIU Functions. This avoids to reconnect an STM and release EB with some packets having been lost during the disconnection period.
This behaviour is ok for STM Control Function, because no STM is allowed to disconnect it in nominal condition.
But it is not for TIU and BIU Functions, as indicated in Subset-035 v2.1.1 §7.3.1.3.6 &amp; §7.6.3.2: an STM has the possibility to close the connection with these Functions when it enters in DE or CS state.
The risk of losing an STM command (packets STM-128, STM-129, STM-130) only exists in DA state, as STM is not allowed to request these commands in any other state: the transformation of temporary to final disconnection should be done only for an STM in DA state (abnormal situation).
At the reconnection, it would also be needed to send the current status of TIU &amp; BIU inputs (packets STM-136, STM-139), that may have changed during the disconnection period.
</t>
        </r>
        <r>
          <rPr>
            <sz val="8"/>
            <rFont val="Tahoma"/>
            <charset val="134"/>
          </rPr>
          <t xml:space="preserve">
</t>
        </r>
      </text>
    </comment>
    <comment ref="B460" authorId="0">
      <text>
        <r>
          <rPr>
            <b/>
            <sz val="8"/>
            <color indexed="10"/>
            <rFont val="Tahoma"/>
            <charset val="134"/>
          </rPr>
          <t>This table is computed automatically at step 4 (only when "ALL" is selected) based on sheet "Comm. Config. Overview" information</t>
        </r>
      </text>
    </comment>
    <comment ref="B473" authorId="0">
      <text>
        <r>
          <rPr>
            <b/>
            <sz val="8"/>
            <color indexed="10"/>
            <rFont val="Tahoma"/>
            <charset val="134"/>
          </rPr>
          <t xml:space="preserve">the column E is the exported data in the XML and column F is the computed value from function Create_EVCB_FILIO_TT_Config after STEP4 DP Generation  (only when "ALL" is selected) AND during XML export.
If you want to overwrite the computation from Create_EVCB_FILIO_TT_Config then you must overwrite the “=” formula in column E with the required value.
</t>
        </r>
      </text>
    </comment>
    <comment ref="E473" authorId="1">
      <text>
        <r>
          <rPr>
            <b/>
            <sz val="9"/>
            <color indexed="10"/>
            <rFont val="Tahoma"/>
            <charset val="134"/>
          </rPr>
          <t>exported data in the XML. By default it is a copy of column F values (can be modified manually if required)</t>
        </r>
        <r>
          <rPr>
            <sz val="9"/>
            <rFont val="Tahoma"/>
            <charset val="134"/>
          </rPr>
          <t xml:space="preserve">
</t>
        </r>
      </text>
    </comment>
    <comment ref="F473" authorId="1">
      <text>
        <r>
          <rPr>
            <b/>
            <sz val="9"/>
            <color indexed="10"/>
            <rFont val="Tahoma"/>
            <charset val="134"/>
          </rPr>
          <t>computed values from function Create_EVCB_FILIO_TT_Config</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<sst xmlns="http://schemas.openxmlformats.org/spreadsheetml/2006/main" count="2914" uniqueCount="1208">
  <si>
    <t>Train type  parameters</t>
  </si>
  <si>
    <t>Fixed Values</t>
  </si>
  <si>
    <t>Customer input</t>
  </si>
  <si>
    <t>no value / not used</t>
  </si>
  <si>
    <t>Designer input</t>
  </si>
  <si>
    <t>Formula</t>
  </si>
  <si>
    <t>value set with macro</t>
  </si>
  <si>
    <t>Paragraph titles</t>
  </si>
  <si>
    <t>Param. N°</t>
  </si>
  <si>
    <t>Parameter names</t>
  </si>
  <si>
    <t>Values</t>
  </si>
  <si>
    <t>Repetitions</t>
  </si>
  <si>
    <t>…</t>
  </si>
  <si>
    <t>A V5.0.0</t>
  </si>
  <si>
    <t>Parameters accessible in Project world</t>
  </si>
  <si>
    <t>Parameters included in the current instance of the EVC_List_Of_Train_Type class</t>
  </si>
  <si>
    <t>Instance Name</t>
  </si>
  <si>
    <t>TRAIN TYPE NAME</t>
  </si>
  <si>
    <t>train_type_name</t>
  </si>
  <si>
    <t>Number of configured nid radio</t>
  </si>
  <si>
    <t>n_of_on_board_phone_numbers</t>
  </si>
  <si>
    <t>nid radio index index</t>
  </si>
  <si>
    <t>M V6.5.B</t>
  </si>
  <si>
    <t>Default EVC values</t>
  </si>
  <si>
    <t>additional info for FP</t>
  </si>
  <si>
    <t>config_nid_radio</t>
  </si>
  <si>
    <t>M V5.2.C</t>
  </si>
  <si>
    <t>Default radio number</t>
  </si>
  <si>
    <t>default_nid_radio_short_number</t>
  </si>
  <si>
    <t>A VN7.1.A</t>
  </si>
  <si>
    <t>Indicate if the maintenance DMI password shall be secured during data transmission (between DMI and EVC)</t>
  </si>
  <si>
    <t>secured_password_management_is_enabled</t>
  </si>
  <si>
    <t>M VN7.1.A</t>
  </si>
  <si>
    <t>Password to enter maintenance parameters on the DMI</t>
  </si>
  <si>
    <t>unsecured_password_value</t>
  </si>
  <si>
    <t>D V6.8.B</t>
  </si>
  <si>
    <t>CORE_plug_data_ident</t>
  </si>
  <si>
    <t>TIU_plug_data_ident</t>
  </si>
  <si>
    <t>RTM_plug_data_ident</t>
  </si>
  <si>
    <t>CORE_SPARE_plug_data_ident</t>
  </si>
  <si>
    <t>CORE3_plug_data_ident</t>
  </si>
  <si>
    <t>Parameters accessible in Train_Type world</t>
  </si>
  <si>
    <t>Parameters included in the current EVC_Train_Type_CORE class</t>
  </si>
  <si>
    <t>A V6.3.A</t>
  </si>
  <si>
    <t xml:space="preserve">CONSTANT TRAIN DATA  </t>
  </si>
  <si>
    <t>(must be filled  if the any "fixed train data set" or a "dynamic train data set" is used with this train type  - for all the types of train data entry)</t>
  </si>
  <si>
    <t>Train is fitted with service brake</t>
  </si>
  <si>
    <t>train_is_service_brake_fitted</t>
  </si>
  <si>
    <t>D V7.0.B
A V6.3.A</t>
  </si>
  <si>
    <t>Regenerative brake applied without catenary</t>
  </si>
  <si>
    <t>rg_brake_without_catenary</t>
  </si>
  <si>
    <t>Number  of axles</t>
  </si>
  <si>
    <t>n_axle</t>
  </si>
  <si>
    <t xml:space="preserve">EVCC_TT_Traction_System                                  </t>
  </si>
  <si>
    <t>Maximum 31 traction system could be defined per train. Each traction system is defined by a value between 0 and 255, but these values are not yet defined (see UIC).</t>
  </si>
  <si>
    <t>n_of_traction_system</t>
  </si>
  <si>
    <t>Traction index</t>
  </si>
  <si>
    <t>List of traction available on the engine</t>
  </si>
  <si>
    <t>m_voltage</t>
  </si>
  <si>
    <t>no volt. def.</t>
  </si>
  <si>
    <t>AC 15 kV 16.7 Hz</t>
  </si>
  <si>
    <t>-</t>
  </si>
  <si>
    <t>nid_ctraction</t>
  </si>
  <si>
    <t xml:space="preserve">DYNAMIC TRAIN DATA SET  </t>
  </si>
  <si>
    <t>(must be filled only if the any "fixed train data set" isn't used with this train type)</t>
  </si>
  <si>
    <t>Dynamic train data set name to be apply</t>
  </si>
  <si>
    <t>5010010 (=4000000)</t>
  </si>
  <si>
    <t>dynamic_data_set_name</t>
  </si>
  <si>
    <t xml:space="preserve">FIXED TRAIN DATA SET  </t>
  </si>
  <si>
    <t>(must be filled only if this kind of data is used with this train type)</t>
  </si>
  <si>
    <t>d V6.5.B
D V6.8.B</t>
  </si>
  <si>
    <t>Predefined "Train Composition" name</t>
  </si>
  <si>
    <t>5020010 (=3000010)</t>
  </si>
  <si>
    <t>One of the applicable EVC_fixed_train_data_set_name</t>
  </si>
  <si>
    <t>Single Loco</t>
  </si>
  <si>
    <t>M V6.3.A</t>
  </si>
  <si>
    <t>Display predefined fixed train data set name</t>
  </si>
  <si>
    <t>EVCC_Fixed_Train_Data_Sets\ predefined_value_is_displayed</t>
  </si>
  <si>
    <t>NEVER</t>
  </si>
  <si>
    <t>m V6.3.B</t>
  </si>
  <si>
    <t>CONVERSION MODEL</t>
  </si>
  <si>
    <t>FP_Cust_0102</t>
  </si>
  <si>
    <t>conversion_model_is_available (Additional infor FP)</t>
  </si>
  <si>
    <t>TRUE</t>
  </si>
  <si>
    <t>A V6.3.B</t>
  </si>
  <si>
    <t>Conversion model is available</t>
  </si>
  <si>
    <t>n_of_SB_delay_conv_models</t>
  </si>
  <si>
    <t>Parameters for SB delay conversion</t>
  </si>
  <si>
    <t>n_of_del_conv_models</t>
  </si>
  <si>
    <t>Applicable to special brake combination</t>
  </si>
  <si>
    <t>tp_order</t>
  </si>
  <si>
    <t>noRg_noEc_noEp</t>
  </si>
  <si>
    <t>Rg_noEc_noEp</t>
  </si>
  <si>
    <t>noRg_Ec_noEp</t>
  </si>
  <si>
    <t>Rg_Ec_noEp</t>
  </si>
  <si>
    <t>noRg_noEc_Ep</t>
  </si>
  <si>
    <t>Rg_noEc_Ep</t>
  </si>
  <si>
    <t>noRg_Ec_Ep</t>
  </si>
  <si>
    <t>Rg_Ec_Ep</t>
  </si>
  <si>
    <t>Value of constant "a" for passenger train category</t>
  </si>
  <si>
    <t>cvm_a_passenger</t>
  </si>
  <si>
    <t>Value of factor "b" for passenger train category</t>
  </si>
  <si>
    <t>cvm_b_passenger</t>
  </si>
  <si>
    <t>Value of factor "c" for passenger train category</t>
  </si>
  <si>
    <t>cvm_c_passenger</t>
  </si>
  <si>
    <t>Value of constant "a" for freight train in P category (l_train &lt; 900m)</t>
  </si>
  <si>
    <t>cvm_a_short_freight_P</t>
  </si>
  <si>
    <t>Value of factor "b" for freight train in P category (l_train &lt; 900m)</t>
  </si>
  <si>
    <t>cvm_b_short_freight_P</t>
  </si>
  <si>
    <t>Value of factor "c" for freight train in P category (l_train &lt; 900m)</t>
  </si>
  <si>
    <t>cvm_c_short_freight_P</t>
  </si>
  <si>
    <t>Value of constant "a" for freight train in P category (l_train &gt; 900m)</t>
  </si>
  <si>
    <t>cvm_a_long_freight_P</t>
  </si>
  <si>
    <t>Value of factor "b" for freight train in P category (l_train &gt;900m)</t>
  </si>
  <si>
    <t>cvm_b_long_freight_P</t>
  </si>
  <si>
    <t>Value of factor "c" for freight train in P category (l_train &gt; 900m)</t>
  </si>
  <si>
    <t>cvm_c_long_freight_P</t>
  </si>
  <si>
    <t>Value of constant "a" for freight train in G category (l_train &lt; 900m)</t>
  </si>
  <si>
    <t>cvm_a_short_freight_G</t>
  </si>
  <si>
    <t>Value of factor "b" for freight train in G category (l_train &lt; 900m)</t>
  </si>
  <si>
    <t>cvm_b_short_freight_G</t>
  </si>
  <si>
    <t>Value of factor "c" for freight train in G category (l_train &lt; 900m)</t>
  </si>
  <si>
    <t>cvm_c_short_freight_G</t>
  </si>
  <si>
    <t>Value of constant "a" for freight train in G category (l_train &gt; 900m)</t>
  </si>
  <si>
    <t>cvm_a_long_freight_G</t>
  </si>
  <si>
    <t>Value of factor "b" for freight train in G category (l_train &gt; 900m)</t>
  </si>
  <si>
    <t>cvm_b_long_freight_G</t>
  </si>
  <si>
    <t>Value of factor "c" for freight train in G category (l_train &gt; 900m)</t>
  </si>
  <si>
    <t>cvm_c_long_freight_G</t>
  </si>
  <si>
    <t>Value of factor "kto" for passenger train category</t>
  </si>
  <si>
    <t>cvm_kto_passenger</t>
  </si>
  <si>
    <t>Value of factor "kto" for freight train in P category</t>
  </si>
  <si>
    <t>cvm_kto_freight_in_P</t>
  </si>
  <si>
    <t>Value of factor "kto" for freight train in G category</t>
  </si>
  <si>
    <t>cvm_kto_freight_in_G</t>
  </si>
  <si>
    <t>A V5.1.A</t>
  </si>
  <si>
    <t>CONFIGURATION TRACK CONDITION</t>
  </si>
  <si>
    <t>M V6.1.A</t>
  </si>
  <si>
    <t>Optimisation of powerless section track condition display</t>
  </si>
  <si>
    <t>EVCC_Config_Trck_Cond_Mgt\ pwrlss_sct_display_optimised</t>
  </si>
  <si>
    <t>A V7.0.C</t>
  </si>
  <si>
    <t>EVCC_Config_Trck_Cond_Mgt\ publish_timer_value</t>
  </si>
  <si>
    <t>treat_track_condition_in_level_NTC</t>
  </si>
  <si>
    <t>A V7.4.A</t>
  </si>
  <si>
    <t>treat_station_platform_in_level_NTC</t>
  </si>
  <si>
    <t>to_broadcast_track_condition</t>
  </si>
  <si>
    <t>EVCC_Config_Trck_Cond_Mgt\track_condition_type_anticipation_selection</t>
  </si>
  <si>
    <t>mng_pwl_exit_section_icon_with_rear_end</t>
  </si>
  <si>
    <t>D V6.1.A</t>
  </si>
  <si>
    <t>M V6.1.C</t>
  </si>
  <si>
    <t>TRACK CONDITION DISPLAY</t>
  </si>
  <si>
    <t>Non stopping area</t>
  </si>
  <si>
    <t>Tunnel stopping area</t>
  </si>
  <si>
    <t>Sound horn</t>
  </si>
  <si>
    <t>Powerless section - lower panto</t>
  </si>
  <si>
    <t>Radio hole</t>
  </si>
  <si>
    <t>Air tightness requested</t>
  </si>
  <si>
    <t>Switch off regenerative brake</t>
  </si>
  <si>
    <t>Switch off eddy current for service brake</t>
  </si>
  <si>
    <t>Switch off magnetic shoe brake</t>
  </si>
  <si>
    <t>Powerless section - switch off main power</t>
  </si>
  <si>
    <t>Switch off eddy current for emergency brake</t>
  </si>
  <si>
    <t>Spare 12</t>
  </si>
  <si>
    <t>Spare 13</t>
  </si>
  <si>
    <t>Spare 14</t>
  </si>
  <si>
    <t>Spare 15</t>
  </si>
  <si>
    <t>Spare 16</t>
  </si>
  <si>
    <t>Index</t>
  </si>
  <si>
    <t>Track condition type</t>
  </si>
  <si>
    <t>track_condition_type</t>
  </si>
  <si>
    <t>NOT_DISPLAYED</t>
  </si>
  <si>
    <t>m V6.7.A</t>
  </si>
  <si>
    <t>Track condition anticipation limit</t>
  </si>
  <si>
    <t>track_cond_anticipation_limit</t>
  </si>
  <si>
    <t>D V5.1.A</t>
  </si>
  <si>
    <t>m V41D</t>
  </si>
  <si>
    <t>BIG METAL MASSES TRACK CONDITION</t>
  </si>
  <si>
    <t>Big metal masses type</t>
  </si>
  <si>
    <t>EVCC_Config_Big_Metal_Masses_Inf\ track_condition_type</t>
  </si>
  <si>
    <t>Big metal masses anticipation type</t>
  </si>
  <si>
    <t>EVCC_Config_Big_Metal_Masses_Inf\ track_condition_type_anticipation_selection</t>
  </si>
  <si>
    <t>Big metal masses anticipation limit</t>
  </si>
  <si>
    <t>EVCC_Config_Big_Metal_Masses_Inf\ track_cond_anticipation_limit</t>
  </si>
  <si>
    <t>D V4.9.A</t>
  </si>
  <si>
    <t>TRACTION SYSTEM  CUT OFF TRACK CONDITION</t>
  </si>
  <si>
    <t>A V6.1.A</t>
  </si>
  <si>
    <t>COTS track condition type</t>
  </si>
  <si>
    <t>EVCC_Config_COTS_Info\ COTS_type</t>
  </si>
  <si>
    <t>COTS anticipation type</t>
  </si>
  <si>
    <t>EVCC_Config_COTS_Info\ track_condition_type_anticipation_selection</t>
  </si>
  <si>
    <t>COTS track condition anticipation limit</t>
  </si>
  <si>
    <t>EVCC_Config_COTS_Info\ COTS_anticipation_limit</t>
  </si>
  <si>
    <t>Broadcast COTS anticipation limit</t>
  </si>
  <si>
    <t>EVCC_Config_COTS_Info\ to_broadcast_cots</t>
  </si>
  <si>
    <t>CONFIGURATION STATION PLATFORM INFO</t>
  </si>
  <si>
    <t>Platform anticipation type</t>
  </si>
  <si>
    <t>EVCC_Config_Station_Platform_Info\ track_condition_type_anticipation_selection</t>
  </si>
  <si>
    <t>Platform anticipation limit</t>
  </si>
  <si>
    <t>EVCC_Config_Station_Platform_Info\ platform_anticipation_limit</t>
  </si>
  <si>
    <t>Platform station to broadcast</t>
  </si>
  <si>
    <t>EVCC_Config_Station_Platform_Info\ to_broadcast_platform</t>
  </si>
  <si>
    <t>CONFIGURATION ALLOWED CURRENT</t>
  </si>
  <si>
    <t>ACC anticipation type</t>
  </si>
  <si>
    <t>EVCC_Config_Acc_Info\ track_condition_type_anticipation_selection</t>
  </si>
  <si>
    <t>ACC anticipation limit</t>
  </si>
  <si>
    <t>EVCC_Config_Acc_Info\ acc_info_anticipation_limit</t>
  </si>
  <si>
    <t>ACC to broadcast</t>
  </si>
  <si>
    <t>EVCC_Config_Acc_Info\ to_broadcast_acc</t>
  </si>
  <si>
    <t xml:space="preserve">PLANNING AREA </t>
  </si>
  <si>
    <t>EVCC_Conf_Tc_Mgt_Plan_Area</t>
  </si>
  <si>
    <t>Powerless section</t>
  </si>
  <si>
    <t>A V4.0</t>
  </si>
  <si>
    <t>A V3.0</t>
  </si>
  <si>
    <t>Track conditions displayed</t>
  </si>
  <si>
    <t>track_condition_displayed</t>
  </si>
  <si>
    <t>EVCC_Conf_Big_Metal_Plan_Area</t>
  </si>
  <si>
    <t>Big metal masses  displayed</t>
  </si>
  <si>
    <t>big_metal_masses_displayed</t>
  </si>
  <si>
    <t>EVCC_Conf_COTS_Plan_Area</t>
  </si>
  <si>
    <t>Traction system cut off displayed</t>
  </si>
  <si>
    <t>COTS_displayed</t>
  </si>
  <si>
    <t>EVCC_Conf_Info_Mgt_Plan_Area</t>
  </si>
  <si>
    <t>Gradient profil  displayed</t>
  </si>
  <si>
    <t>gradient_profile_to_display</t>
  </si>
  <si>
    <t>Target indication points displayed</t>
  </si>
  <si>
    <t>tip_to_display</t>
  </si>
  <si>
    <t>Speed profile displayed</t>
  </si>
  <si>
    <t>speed_profile_to_display</t>
  </si>
  <si>
    <t>A V7.5.B</t>
  </si>
  <si>
    <t>AoE_stop_points_to_display_in_planning_area</t>
  </si>
  <si>
    <t>AoE_next_advice_to_display_in_planning_area</t>
  </si>
  <si>
    <t>A V7.2.A</t>
  </si>
  <si>
    <t>STM INFORMATION</t>
  </si>
  <si>
    <t>STM_initialisation_delay</t>
  </si>
  <si>
    <t>M V42A</t>
  </si>
  <si>
    <t>STM name in SyID sheet</t>
  </si>
  <si>
    <t>M V5.2.B</t>
  </si>
  <si>
    <t>index</t>
  </si>
  <si>
    <t>n_of_STMs</t>
  </si>
  <si>
    <t>m V42A</t>
  </si>
  <si>
    <t>nid_STM</t>
  </si>
  <si>
    <t>D V42A</t>
  </si>
  <si>
    <t>STM  Name</t>
  </si>
  <si>
    <t>STM_name</t>
  </si>
  <si>
    <t>A V6.1.B</t>
  </si>
  <si>
    <t>Baseline to which the STM is compliant</t>
  </si>
  <si>
    <t>STM_baseline</t>
  </si>
  <si>
    <t>A V6.6.A+</t>
  </si>
  <si>
    <t>SH_mode_is_authorised</t>
  </si>
  <si>
    <t>displayed_speed_unit</t>
  </si>
  <si>
    <t>EVC behaviour in case of temporary STM disconnection</t>
  </si>
  <si>
    <t>promote_disconnection_as_final</t>
  </si>
  <si>
    <t>A V6.5.B</t>
  </si>
  <si>
    <t>hide_speed_and_dist_in_SN</t>
  </si>
  <si>
    <t>A V5.3.B</t>
  </si>
  <si>
    <t>Autorisation given to the DMI to display  the STM in NL mode</t>
  </si>
  <si>
    <t>STM_display_in_NL_autorised</t>
  </si>
  <si>
    <t>use_max_t_STM_enter_ord_state</t>
  </si>
  <si>
    <t>Maximum time for an STM to enter an ordered state</t>
  </si>
  <si>
    <t>spec_max_t_STM_enter_ord_state</t>
  </si>
  <si>
    <t>use_max_t_STM_enter_DA_state</t>
  </si>
  <si>
    <t>Maximum time for an STM to enter a "Data Available" state</t>
  </si>
  <si>
    <t>spec_max_t_STM_enter_DA_state</t>
  </si>
  <si>
    <t>use_max_t_STM_send_data_req</t>
  </si>
  <si>
    <t>Maximum time for an STM to send a data request</t>
  </si>
  <si>
    <t>spec_max_t_STM_send_data_req</t>
  </si>
  <si>
    <t>M VN7.1.B
A V5.3.C</t>
  </si>
  <si>
    <t>kind_of_stm_test</t>
  </si>
  <si>
    <t>DAILY_TEST_WITH_STM_PROCED</t>
  </si>
  <si>
    <t>A VN7.1.C</t>
  </si>
  <si>
    <t>STM_test_proced_txt_msg_managed_by_EVC</t>
  </si>
  <si>
    <t>STM_test_proc_termination_sending_is_enabled</t>
  </si>
  <si>
    <t>A VN7.1.B</t>
  </si>
  <si>
    <t>STM_test_delay</t>
  </si>
  <si>
    <t>A V5.4.A</t>
  </si>
  <si>
    <t>STM_data_entry_but_is_enabled</t>
  </si>
  <si>
    <t>D V7.0.B
A V5.5.C</t>
  </si>
  <si>
    <t>unvoted_balise_reaction_mgt</t>
  </si>
  <si>
    <t>A V7.4.0</t>
  </si>
  <si>
    <t>enable_override_disp_button_for_STM</t>
  </si>
  <si>
    <t>A V6.1.C</t>
  </si>
  <si>
    <t>P16_FA_order_extend_appl_delay</t>
  </si>
  <si>
    <t>auto_hot_restart_is_enabled</t>
  </si>
  <si>
    <t>STM_failure_txt_msg_acknowledgeable</t>
  </si>
  <si>
    <t>M V6.2.A</t>
  </si>
  <si>
    <t>Maximum distance allowed with antenna failure</t>
  </si>
  <si>
    <t>d_metal_in_level_NTC</t>
  </si>
  <si>
    <t>Indicates if the packets STM-31 DMI active channel are managed by Baseline 2 STMs.</t>
  </si>
  <si>
    <t>enable_DMI_channel_sending_for_STM_BSL2</t>
  </si>
  <si>
    <t>A V6.2.C</t>
  </si>
  <si>
    <t>The following part is to fill only if the range of STM_nid_data must be checked for some STM</t>
  </si>
  <si>
    <t>STM n°1</t>
  </si>
  <si>
    <t>This nid_STM is the nid STM present above in the column indexed 1 (not used for XML export)</t>
  </si>
  <si>
    <t xml:space="preserve">Definition of the STM data range </t>
  </si>
  <si>
    <t xml:space="preserve">n_of_STM_data_range_check </t>
  </si>
  <si>
    <t>Point order</t>
  </si>
  <si>
    <t>STM_nid_data</t>
  </si>
  <si>
    <t>STM_data_min_value</t>
  </si>
  <si>
    <t>STM_data_max_value</t>
  </si>
  <si>
    <t>STM n°2</t>
  </si>
  <si>
    <t>This nid_STM is the nid STM present above in the column indexed 2</t>
  </si>
  <si>
    <t>STM n°3</t>
  </si>
  <si>
    <t>This nid_STM is the nid STM present above in the column indexed 3</t>
  </si>
  <si>
    <t>STM n°4</t>
  </si>
  <si>
    <t>This nid_STM is the nid STM present above in the column indexed 4</t>
  </si>
  <si>
    <t>STM n°5</t>
  </si>
  <si>
    <t>This nid_STM is the nid STM present above in the column indexed 5</t>
  </si>
  <si>
    <t>STM n°6</t>
  </si>
  <si>
    <t>This nid_STM is the nid STM present above in the column indexed 6</t>
  </si>
  <si>
    <t>STM n°7</t>
  </si>
  <si>
    <t>This nid_STM is the nid STM present above in the column indexed 7</t>
  </si>
  <si>
    <t>STM n°8</t>
  </si>
  <si>
    <t>This nid_STM is the nid STM present above in the column indexed 8</t>
  </si>
  <si>
    <t>STM n°9</t>
  </si>
  <si>
    <t>This nid_STM is the nid STM present above in the column indexed 9</t>
  </si>
  <si>
    <t>STM n°10</t>
  </si>
  <si>
    <t>This nid_STM is the nid STM present above in the column indexed 10</t>
  </si>
  <si>
    <t>STM n°11</t>
  </si>
  <si>
    <t>This nid_STM is the nid STM present above in the column indexed 11</t>
  </si>
  <si>
    <t>STM n°12</t>
  </si>
  <si>
    <t>This nid_STM is the nid STM present above in the column indexed 12</t>
  </si>
  <si>
    <t>D V4.0</t>
  </si>
  <si>
    <t>EVCC_Levels_Train_Is_Fit_For</t>
  </si>
  <si>
    <t>n_of_levels_train_is_fit_for</t>
  </si>
  <si>
    <t>level_ERTMS</t>
  </si>
  <si>
    <t>D V5.3.B</t>
  </si>
  <si>
    <t>EVCC_Config_Info_Train_Loc_Mgt</t>
  </si>
  <si>
    <t>m 64A</t>
  </si>
  <si>
    <t>Engine length</t>
  </si>
  <si>
    <t>l_engine</t>
  </si>
  <si>
    <t>enable_ETCS_confidence_interval_monitoring</t>
  </si>
  <si>
    <t>M 7.5.B</t>
  </si>
  <si>
    <t>percentage_CI_boundaries_supervision</t>
  </si>
  <si>
    <t>EVCC_Config_Info_For_Train_Doors_Management</t>
  </si>
  <si>
    <t>Train door management function activated {0 or 1}</t>
  </si>
  <si>
    <t>train_doors_management_function</t>
  </si>
  <si>
    <t>cp_train_type</t>
  </si>
  <si>
    <t>n_of_right_train_doors</t>
  </si>
  <si>
    <t>n_of_left_train_doors</t>
  </si>
  <si>
    <t>cp_v_max_stop_align</t>
  </si>
  <si>
    <t>cp_t_delay_train_doors_open</t>
  </si>
  <si>
    <t>cp_t_delay_train_doors_close</t>
  </si>
  <si>
    <t>cp_d_max_overshoot</t>
  </si>
  <si>
    <t>cp_d_max_skip_icon</t>
  </si>
  <si>
    <t>M VN7.1.C 
A VN7.1.A</t>
  </si>
  <si>
    <t>MOUNTED EQUIPMENT INFO</t>
  </si>
  <si>
    <t>get_mounted_eqpt_from_data_entry</t>
  </si>
  <si>
    <t>NONE</t>
  </si>
  <si>
    <t>mounted_eqpt_length_range_min</t>
  </si>
  <si>
    <t>mounted_eqpt_length_range_max</t>
  </si>
  <si>
    <t>EUROBALISE ANTENNA POSITION</t>
  </si>
  <si>
    <t>m64A</t>
  </si>
  <si>
    <t>Distance from cab A to eurobalise antenna 1</t>
  </si>
  <si>
    <t>dist_cabA_to_balise_antenna1</t>
  </si>
  <si>
    <t>Distance from cab B to eurobalise antenna 1</t>
  </si>
  <si>
    <t>dist_cabB_to_balise_antenna1</t>
  </si>
  <si>
    <t>Distance from cab A to eurobalise antenna 2</t>
  </si>
  <si>
    <t>dist_cabA_to_balise_antenna2</t>
  </si>
  <si>
    <t>Distance from cab B to eurobalise antenna 2</t>
  </si>
  <si>
    <t>dist_cabB_to_balise_antenna2</t>
  </si>
  <si>
    <t>D V5.0.0</t>
  </si>
  <si>
    <t>m V5.0.0</t>
  </si>
  <si>
    <t>EMERGENCY BRAKE TEST INFO</t>
  </si>
  <si>
    <t>Emergency brake test activation</t>
  </si>
  <si>
    <t>emergency_brk_test_activation</t>
  </si>
  <si>
    <t>EB_TEST_AT_POWER_UP_WHEN_DESK_OPENED_OR_ON_DRIVER_REQUEST</t>
  </si>
  <si>
    <t>A V7.3.A</t>
  </si>
  <si>
    <t>EB_test_authorization_from_TI</t>
  </si>
  <si>
    <t>D V5.4.B</t>
  </si>
  <si>
    <t>Text display for EB test partly failed</t>
  </si>
  <si>
    <t>text_disp_EB_test_partly_fail</t>
  </si>
  <si>
    <t>m V6.6.A</t>
  </si>
  <si>
    <t>manage_daily_test_function</t>
  </si>
  <si>
    <t>A V5.4.B</t>
  </si>
  <si>
    <t>n_of_on_board_non_STM_ATP</t>
  </si>
  <si>
    <t>A V6.0.D</t>
  </si>
  <si>
    <t>EVCC_TT_Special_Brake_TRU_Info</t>
  </si>
  <si>
    <t>regenerative_brake_interface</t>
  </si>
  <si>
    <t>eddy_current_brake_interface</t>
  </si>
  <si>
    <t>magnetic_shoe_brake_interface</t>
  </si>
  <si>
    <t>electro_pneuma_brake_interface</t>
  </si>
  <si>
    <t>adh_indep_brake_interface</t>
  </si>
  <si>
    <t>EVCC_MAINTENANCE_TT_INFO</t>
  </si>
  <si>
    <t>See "Odometry channel configuration"</t>
  </si>
  <si>
    <t>Identification of wheel A</t>
  </si>
  <si>
    <t>axle_wheel_A</t>
  </si>
  <si>
    <t>axle where the WS1 is installed</t>
  </si>
  <si>
    <t>Identification of wheel B</t>
  </si>
  <si>
    <t>axle_wheel_B</t>
  </si>
  <si>
    <t>axle where the WS2 is installed</t>
  </si>
  <si>
    <t>A V4.9.A</t>
  </si>
  <si>
    <t>EVCC_TT_Info_For_MMU_Output</t>
  </si>
  <si>
    <t>Position of EVC carriage</t>
  </si>
  <si>
    <t>dist_cabA_to_EVC_carriage</t>
  </si>
  <si>
    <t>Length of EVC carriage</t>
  </si>
  <si>
    <t>l_EVC_carriage</t>
  </si>
  <si>
    <t>A V6.7.1</t>
  </si>
  <si>
    <t>Transmission mode of the gradient to the MMU</t>
  </si>
  <si>
    <t>MMU_gradient_transmission_mode</t>
  </si>
  <si>
    <t>A V5.0.A</t>
  </si>
  <si>
    <t>EVCC_TT_P44_Management_Prmtr</t>
  </si>
  <si>
    <t>A V6.4.A</t>
  </si>
  <si>
    <t>invert_m_side_door</t>
  </si>
  <si>
    <t>n_of_nid_xusers_serial_link</t>
  </si>
  <si>
    <t>M V6.4.A</t>
  </si>
  <si>
    <t>EVCC_Serial_Link_NID_Xusers</t>
  </si>
  <si>
    <t>M V6.8.A</t>
  </si>
  <si>
    <t>nid_xuser</t>
  </si>
  <si>
    <t>P44_management_available</t>
  </si>
  <si>
    <t>D V6.0.C</t>
  </si>
  <si>
    <t>n_of_nid_xusers_for_asd_function_info</t>
  </si>
  <si>
    <t>EVCC_Nid_Xusers_For_ASD_Function_Info</t>
  </si>
  <si>
    <t>nid_xuser_asd_function</t>
  </si>
  <si>
    <t>A V6.2.B</t>
  </si>
  <si>
    <t>EVCC_TT_SB_App_Decel_Monitor</t>
  </si>
  <si>
    <t>SB_application_monitor_use_SBD</t>
  </si>
  <si>
    <t>add_SB_dec_monitor_delay_FS_OS</t>
  </si>
  <si>
    <t>add_SB_dec_monitor_delay_other</t>
  </si>
  <si>
    <t>A V6.0.C</t>
  </si>
  <si>
    <t>SERVICE BRAKE FEEDBACK</t>
  </si>
  <si>
    <t>Service brake feedback mode  implemented</t>
  </si>
  <si>
    <t>SBFb_is_implemented</t>
  </si>
  <si>
    <t>Vehicle dependent constant to compute the pression</t>
  </si>
  <si>
    <t>SBFb_k1</t>
  </si>
  <si>
    <t>EVCB_BTM_Monit_CTRL_TT_Prmtr</t>
  </si>
  <si>
    <t>M V4.9.A</t>
  </si>
  <si>
    <t>antenna_config</t>
  </si>
  <si>
    <t>D V4.5.A</t>
  </si>
  <si>
    <t>M V5.0.0</t>
  </si>
  <si>
    <t>EVCB_MMI_TT_Connection_Prmtr</t>
  </si>
  <si>
    <t>MV7.0.D
m V6.7.1</t>
  </si>
  <si>
    <t>DP_interface_EVC_DMI_version</t>
  </si>
  <si>
    <t>D V5.5.B</t>
  </si>
  <si>
    <t>M V5.5.B</t>
  </si>
  <si>
    <t>ODOMETRY sensor range</t>
  </si>
  <si>
    <t>M V41C</t>
  </si>
  <si>
    <t>Maximum value of wheel diameter A</t>
  </si>
  <si>
    <t>m_wheel_max_diameter_A</t>
  </si>
  <si>
    <t>wheel where the WS1 is installed</t>
  </si>
  <si>
    <t>A V41C</t>
  </si>
  <si>
    <t>Maximum value of wheel diameter B</t>
  </si>
  <si>
    <t>m_wheel_max_diameter_B</t>
  </si>
  <si>
    <t>wheel where the WS2 is installed</t>
  </si>
  <si>
    <t>M V46A</t>
  </si>
  <si>
    <t>Minimum value of wheel diameter A</t>
  </si>
  <si>
    <t>m_wheel_min_diameter_A</t>
  </si>
  <si>
    <t>Minimum value of wheel diameter B</t>
  </si>
  <si>
    <t>m_wheel_min_diameter_B</t>
  </si>
  <si>
    <t>A V5.5.B</t>
  </si>
  <si>
    <t>max_coef_radar</t>
  </si>
  <si>
    <t>min_coef_radar</t>
  </si>
  <si>
    <t>M V5.5.C</t>
  </si>
  <si>
    <t>max_acco_bias</t>
  </si>
  <si>
    <t>min_acco_bias</t>
  </si>
  <si>
    <t>A V6.5.A</t>
  </si>
  <si>
    <t>max_track_slope</t>
  </si>
  <si>
    <t>min_track_slope</t>
  </si>
  <si>
    <t>max_acc3d_COMET_bias</t>
  </si>
  <si>
    <t>min_acc3d_COMET_bias</t>
  </si>
  <si>
    <t xml:space="preserve">max_acc3d_COMET_temperature </t>
  </si>
  <si>
    <t xml:space="preserve">min_acc3d_COMET_temperature </t>
  </si>
  <si>
    <t>EVCB_Maint_Manager_TT_Prmtr</t>
  </si>
  <si>
    <t>TRAIN_DEVICE_1</t>
  </si>
  <si>
    <t>PRESENT</t>
  </si>
  <si>
    <t>m V6.9.B</t>
  </si>
  <si>
    <t>TRAIN_DEVICE_2</t>
  </si>
  <si>
    <t>TRAIN_DEVICE_3</t>
  </si>
  <si>
    <t>TRAIN_DEVICE_4</t>
  </si>
  <si>
    <t>TRAIN_DEVICE_5</t>
  </si>
  <si>
    <t>TRAIN_DEVICE_6</t>
  </si>
  <si>
    <t>A V6.9.B</t>
  </si>
  <si>
    <t>TRAIN_DEVICE_7</t>
  </si>
  <si>
    <t>TRAIN_DEVICE_8</t>
  </si>
  <si>
    <t>TRAIN_DEVICE_9</t>
  </si>
  <si>
    <t>TRAIN_DEVICE_10</t>
  </si>
  <si>
    <t>FILIO_1</t>
  </si>
  <si>
    <t>A V6.9.B
D V6.9.G</t>
  </si>
  <si>
    <t>FILIO_2</t>
  </si>
  <si>
    <t>A V5.3.C</t>
  </si>
  <si>
    <t>maint_mgt_info_sent_to_ext_dev</t>
  </si>
  <si>
    <t>A V6.9.C</t>
  </si>
  <si>
    <t>JRU_is_available</t>
  </si>
  <si>
    <t>DRU_is_available</t>
  </si>
  <si>
    <t>CMD_is_available</t>
  </si>
  <si>
    <t>INAT : Interface with National Equipment</t>
  </si>
  <si>
    <t>INAT_STM_functionality_is_used</t>
  </si>
  <si>
    <t>nbr_of_INAT_STM</t>
  </si>
  <si>
    <t>INAT_active_with_desk_only</t>
  </si>
  <si>
    <t>EVCB_INAT_TT_Common_STM_IO_Config</t>
  </si>
  <si>
    <t>D V5.0.A</t>
  </si>
  <si>
    <t>EB_inh_wt_in_FA</t>
  </si>
  <si>
    <t>EVCB_TT_EVC_Config</t>
  </si>
  <si>
    <t>EVC_kind</t>
  </si>
  <si>
    <t>D V6.5.B</t>
  </si>
  <si>
    <t>A V5.3.A</t>
  </si>
  <si>
    <t>Parameters included in the current EVC_GEOS_Train_Type_CORE class</t>
  </si>
  <si>
    <t>GEOS_TT_Wheel_Sensor_Conf</t>
  </si>
  <si>
    <t>M N7.1.C  
A V5.3.A</t>
  </si>
  <si>
    <t>WHEEL_SENSOR_InputZ</t>
  </si>
  <si>
    <t>WHEEL_SENSOR_InputB</t>
  </si>
  <si>
    <t>ws_sensor_used</t>
  </si>
  <si>
    <t>ws_position</t>
  </si>
  <si>
    <t>ws_slip_slide_sensitivity</t>
  </si>
  <si>
    <t>division_factor</t>
  </si>
  <si>
    <t>number_of_teeth</t>
  </si>
  <si>
    <t>number_of_cells</t>
  </si>
  <si>
    <t>signal_profile</t>
  </si>
  <si>
    <t>gearbox_ratio</t>
  </si>
  <si>
    <t>ref_voltage_normal_use</t>
  </si>
  <si>
    <t>ref_voltage_test_high</t>
  </si>
  <si>
    <t>ref_voltage_test_low</t>
  </si>
  <si>
    <t>ws_max_speed</t>
  </si>
  <si>
    <t>GEOS_TT_Serial_Sensor_Conf</t>
  </si>
  <si>
    <t>SERIAL_SENSOR_1</t>
  </si>
  <si>
    <t>SERIAL_SENSOR_2</t>
  </si>
  <si>
    <t>ss_sensor_kind</t>
  </si>
  <si>
    <t>ss_version</t>
  </si>
  <si>
    <t>ss_position</t>
  </si>
  <si>
    <t>ss_slip_slide_sensitivity</t>
  </si>
  <si>
    <t>D V5.4.A</t>
  </si>
  <si>
    <t>M V6.3.B</t>
  </si>
  <si>
    <t>GEOS_TT_Ext_Accelerometer_Conf</t>
  </si>
  <si>
    <t>acco_working_mode</t>
  </si>
  <si>
    <t>acco_position</t>
  </si>
  <si>
    <t>acco_abs_error</t>
  </si>
  <si>
    <t>acco_bias_margin</t>
  </si>
  <si>
    <t>GEOS_TT_Int_Accelerometer_Conf</t>
  </si>
  <si>
    <t>acc3d_COMET1_working_mode</t>
  </si>
  <si>
    <t>acc3d_COMET2_working_mode</t>
  </si>
  <si>
    <t>M V7.4.C
M V6.7.1</t>
  </si>
  <si>
    <t>acc3d_privileged_axis</t>
  </si>
  <si>
    <t>acc3d_position</t>
  </si>
  <si>
    <t>M V6.7.1</t>
  </si>
  <si>
    <t>acc3d_abs_error</t>
  </si>
  <si>
    <t>acc3d_bias_margin</t>
  </si>
  <si>
    <t>acc3d_COMET1_zerog_chge_vs_tmp</t>
  </si>
  <si>
    <t>acc3d_COMET2_zerog_chge_vs_tmp</t>
  </si>
  <si>
    <t>M V7.4.C
A V6.5.B</t>
  </si>
  <si>
    <t>acc3d_robustification</t>
  </si>
  <si>
    <t>[GEOS_TT_Train_Model]</t>
  </si>
  <si>
    <t>Train model: maximum speed</t>
  </si>
  <si>
    <t>speed_max</t>
  </si>
  <si>
    <t>Train model: maximum acceleration</t>
  </si>
  <si>
    <t>acceleration_max</t>
  </si>
  <si>
    <t>Train model: maximum deceleration</t>
  </si>
  <si>
    <t>deceleration_max</t>
  </si>
  <si>
    <t>GEOS_TT_Block_Wheel_Detect</t>
  </si>
  <si>
    <t>acco_no_motion_variance_thd</t>
  </si>
  <si>
    <t>acc3d_no_motion_variance_thd</t>
  </si>
  <si>
    <t>worst_deceleration</t>
  </si>
  <si>
    <t>m V6.2.C</t>
  </si>
  <si>
    <t>Parameters included in the current EVC_Train_Type_TIU class</t>
  </si>
  <si>
    <t>INFORMATION FOR SOME EVC FUNCTIONS</t>
  </si>
  <si>
    <t>EB application time</t>
  </si>
  <si>
    <t>EB_application_time</t>
  </si>
  <si>
    <t>EB release time</t>
  </si>
  <si>
    <t>EB_release_time</t>
  </si>
  <si>
    <t>SB application timer</t>
  </si>
  <si>
    <t>SB_application_time</t>
  </si>
  <si>
    <t>SB release timer</t>
  </si>
  <si>
    <t>SB_release_time</t>
  </si>
  <si>
    <t>EB_application_monitor_timer</t>
  </si>
  <si>
    <t>EB_release_monitor_timer</t>
  </si>
  <si>
    <t>SB_application_monitor_timer</t>
  </si>
  <si>
    <t>SB_release_monitor_timer</t>
  </si>
  <si>
    <t>D V6.2.B</t>
  </si>
  <si>
    <t>Traction cut-off application time</t>
  </si>
  <si>
    <t>tract_cut_off_appl_time</t>
  </si>
  <si>
    <t>Traction cut-off release time</t>
  </si>
  <si>
    <t>tract_cut_off_rels_time</t>
  </si>
  <si>
    <t>m V6.4.A</t>
  </si>
  <si>
    <t>tract_cut_off_appl_monit_tmr</t>
  </si>
  <si>
    <t>tract_cut_off_rels_monit_tmr</t>
  </si>
  <si>
    <t>NETT_NETB_start_up_monit_tmr</t>
  </si>
  <si>
    <t>A V5.2.A</t>
  </si>
  <si>
    <t>Condition to detect illicit power</t>
  </si>
  <si>
    <t>illicit_power_detect_by_desk</t>
  </si>
  <si>
    <t>Pantograph optimisation</t>
  </si>
  <si>
    <t>panto_optimisation_plg_control</t>
  </si>
  <si>
    <t>Pantograph lowering time</t>
  </si>
  <si>
    <t>pantograph_lowering_time</t>
  </si>
  <si>
    <t>pantograph_lowering_delay</t>
  </si>
  <si>
    <t>Pantograph raising time</t>
  </si>
  <si>
    <t>pantograph_raising_time</t>
  </si>
  <si>
    <t>pantograph_raising_delay</t>
  </si>
  <si>
    <t>Pantograph down for powerless section - panto</t>
  </si>
  <si>
    <t>panto_down_for_pwrlss_sct_P</t>
  </si>
  <si>
    <t xml:space="preserve">Pantograph 1 position from cabin A </t>
  </si>
  <si>
    <t>panto_1_position_from_cab_a</t>
  </si>
  <si>
    <t xml:space="preserve">Pantograph 2 position from cabin A </t>
  </si>
  <si>
    <t>panto_2_position_from_cab_a</t>
  </si>
  <si>
    <t>Pantograph 1 position from cabin B</t>
  </si>
  <si>
    <t>panto_1_position_from_cab_b</t>
  </si>
  <si>
    <t xml:space="preserve">Pantograph 2 position from cabin B </t>
  </si>
  <si>
    <t>panto_2_position_from_cab_b</t>
  </si>
  <si>
    <t>Method to define panto position</t>
  </si>
  <si>
    <t>panto_position_method</t>
  </si>
  <si>
    <t xml:space="preserve">Start position of the pantograph window </t>
  </si>
  <si>
    <t>panto_window_start_distance</t>
  </si>
  <si>
    <t>End position of the pantograph window</t>
  </si>
  <si>
    <t>panto_window_end_distance</t>
  </si>
  <si>
    <t>Circuit breaker opening time</t>
  </si>
  <si>
    <t>circuit_breaker_opening_time</t>
  </si>
  <si>
    <t>circuit_breaker_opening_delay</t>
  </si>
  <si>
    <t>Circuit breaker closing time</t>
  </si>
  <si>
    <t>circuit_breaker_closing_time</t>
  </si>
  <si>
    <t>circuit_breaker_closing_delay</t>
  </si>
  <si>
    <t>Circuit breaker open for powerless section - panto</t>
  </si>
  <si>
    <t>crct_brkr_opn_fr_pwrlss_sct_P</t>
  </si>
  <si>
    <t>Circuit breaker open for powerless section - circ. brk</t>
  </si>
  <si>
    <t>crct_brkr_opn_fr_pwrlss_sct_CB</t>
  </si>
  <si>
    <t>delay_to_cut_off_traction</t>
  </si>
  <si>
    <t>Traction cut off for powerless section - panto</t>
  </si>
  <si>
    <t>tract_cut_off_for_pwrlss_sct_P</t>
  </si>
  <si>
    <t>Traction cut off for powerless section - circ.brk.</t>
  </si>
  <si>
    <t>tract_cut_off_for_pwrlss_sct_C</t>
  </si>
  <si>
    <t>D V5.5.A</t>
  </si>
  <si>
    <t>Speed threshold</t>
  </si>
  <si>
    <t>1040040
5070240</t>
  </si>
  <si>
    <t>speed_threshold</t>
  </si>
  <si>
    <t>Hysteresis for speed threshold</t>
  </si>
  <si>
    <t>1040050
5070250</t>
  </si>
  <si>
    <t>hysteresis_for_speed_threshold</t>
  </si>
  <si>
    <t>INAT 24V input desactivation monitoring timer</t>
  </si>
  <si>
    <t>INAT_read_back_activ_monit_tmr</t>
  </si>
  <si>
    <t>Device transmission delay</t>
  </si>
  <si>
    <t>device_transmission_delay</t>
  </si>
  <si>
    <t>updated through function Extract_TIU_Port_Data</t>
  </si>
  <si>
    <t>A V5.2.B</t>
  </si>
  <si>
    <t>TIU_TT_Incoming_Port_Interface</t>
  </si>
  <si>
    <t>n_of_incoming_port</t>
  </si>
  <si>
    <t>port_number_interface</t>
  </si>
  <si>
    <t>port_max_length</t>
  </si>
  <si>
    <t>port_failed_behaviour</t>
  </si>
  <si>
    <t>SYSTEM_FAIL</t>
  </si>
  <si>
    <t>LOG_ERR</t>
  </si>
  <si>
    <t>coding_type</t>
  </si>
  <si>
    <t>BIG_ENDIAN</t>
  </si>
  <si>
    <t>LITTLE_ENDIAN</t>
  </si>
  <si>
    <t>A V5.2.C</t>
  </si>
  <si>
    <t>unknown_mask_behaviour</t>
  </si>
  <si>
    <t>SEE_DEGRADED_BEHAVIOUR</t>
  </si>
  <si>
    <t>unknown_mask_filtering_delay</t>
  </si>
  <si>
    <t>1</t>
  </si>
  <si>
    <t>TIU_TT_Outgoing_Port_Interface</t>
  </si>
  <si>
    <t>n_of_outgoing_port</t>
  </si>
  <si>
    <t>column F updated through function Create_EVCB_FILIO_TT_Config</t>
  </si>
  <si>
    <t>EVCB_FILIO_TT_Config</t>
  </si>
  <si>
    <t>Exported value</t>
  </si>
  <si>
    <t>Computed value</t>
  </si>
  <si>
    <t>FILIO1/OUT0</t>
  </si>
  <si>
    <t>test_outputs_FILIO1_0</t>
  </si>
  <si>
    <t>HIGH</t>
  </si>
  <si>
    <t>FILIO1/OUT1</t>
  </si>
  <si>
    <t>test_outputs_FILIO1_1</t>
  </si>
  <si>
    <t>LOW</t>
  </si>
  <si>
    <t>FILIO1/OUT2</t>
  </si>
  <si>
    <t>test_outputs_FILIO1_2</t>
  </si>
  <si>
    <t>FILIO1/OUT3</t>
  </si>
  <si>
    <t>test_outputs_FILIO1_3</t>
  </si>
  <si>
    <t>FILIO1/OUT4</t>
  </si>
  <si>
    <t>test_outputs_FILIO1_4</t>
  </si>
  <si>
    <t>FILIO1/OUT5</t>
  </si>
  <si>
    <t>test_outputs_FILIO1_5</t>
  </si>
  <si>
    <t>FILIO1/OUT6</t>
  </si>
  <si>
    <t>test_outputs_FILIO1_6</t>
  </si>
  <si>
    <t>FILIO1/OUT7</t>
  </si>
  <si>
    <t>test_outputs_FILIO1_7</t>
  </si>
  <si>
    <t>FILIO1/OUT8</t>
  </si>
  <si>
    <t>test_outputs_FILIO1_8</t>
  </si>
  <si>
    <t>FILIO1/OUT9</t>
  </si>
  <si>
    <t>test_outputs_FILIO1_9</t>
  </si>
  <si>
    <t>FILIO1/OUT10</t>
  </si>
  <si>
    <t>test_outputs_FILIO1_10</t>
  </si>
  <si>
    <t>FILIO1/OUT11</t>
  </si>
  <si>
    <t>test_outputs_FILIO1_11</t>
  </si>
  <si>
    <t>FILIO1/OUT12</t>
  </si>
  <si>
    <t>test_outputs_FILIO1_12</t>
  </si>
  <si>
    <t>FILIO1/OUT13</t>
  </si>
  <si>
    <t>test_outputs_FILIO1_13</t>
  </si>
  <si>
    <t>FILIO1/OUT14</t>
  </si>
  <si>
    <t>test_outputs_FILIO1_14</t>
  </si>
  <si>
    <t>FILIO1/OUT15</t>
  </si>
  <si>
    <t>test_outputs_FILIO1_15</t>
  </si>
  <si>
    <t>FILIO2/OUT16</t>
  </si>
  <si>
    <t>test_outputs_FILIO2_0</t>
  </si>
  <si>
    <t>FILIO2/OUT17</t>
  </si>
  <si>
    <t>test_outputs_FILIO2_1</t>
  </si>
  <si>
    <t>FILIO2/OUT18</t>
  </si>
  <si>
    <t>test_outputs_FILIO2_2</t>
  </si>
  <si>
    <t>FILIO2/OUT19</t>
  </si>
  <si>
    <t>test_outputs_FILIO2_3</t>
  </si>
  <si>
    <t>FILIO2/OUT20</t>
  </si>
  <si>
    <t>test_outputs_FILIO2_4</t>
  </si>
  <si>
    <t>FILIO2/OUT21</t>
  </si>
  <si>
    <t>test_outputs_FILIO2_5</t>
  </si>
  <si>
    <t>FILIO2/OUT22</t>
  </si>
  <si>
    <t>test_outputs_FILIO2_6</t>
  </si>
  <si>
    <t>FILIO2/OUT23</t>
  </si>
  <si>
    <t>test_outputs_FILIO2_7</t>
  </si>
  <si>
    <t>FILIO2/OUT24</t>
  </si>
  <si>
    <t>test_outputs_FILIO2_8</t>
  </si>
  <si>
    <t>FILIO2/OUT25</t>
  </si>
  <si>
    <t>test_outputs_FILIO2_9</t>
  </si>
  <si>
    <t>FILIO2/OUT26</t>
  </si>
  <si>
    <t>test_outputs_FILIO2_10</t>
  </si>
  <si>
    <t>FILIO2/OUT27</t>
  </si>
  <si>
    <t>test_outputs_FILIO2_11</t>
  </si>
  <si>
    <t>FILIO2/OUT28</t>
  </si>
  <si>
    <t>test_outputs_FILIO2_12</t>
  </si>
  <si>
    <t>FILIO2/OUT29</t>
  </si>
  <si>
    <t>test_outputs_FILIO2_13</t>
  </si>
  <si>
    <t>FILIO2/OUT30</t>
  </si>
  <si>
    <t>test_outputs_FILIO2_14</t>
  </si>
  <si>
    <t>FILIO2/OUT31</t>
  </si>
  <si>
    <t>test_outputs_FILIO2_15</t>
  </si>
  <si>
    <t>A VN7.1.A_HD</t>
  </si>
  <si>
    <t>input_sampling_filio1_0</t>
  </si>
  <si>
    <t>input_sampling_filio1_1</t>
  </si>
  <si>
    <t>input_sampling_filio1_2</t>
  </si>
  <si>
    <t>input_sampling_filio1_3</t>
  </si>
  <si>
    <t>input_sampling_filio1_4</t>
  </si>
  <si>
    <t>input_sampling_filio1_5</t>
  </si>
  <si>
    <t>input_sampling_filio1_6</t>
  </si>
  <si>
    <t>input_sampling_filio1_7</t>
  </si>
  <si>
    <t>input_sampling_filio1_8</t>
  </si>
  <si>
    <t>input_sampling_filio1_9</t>
  </si>
  <si>
    <t>input_sampling_filio1_10</t>
  </si>
  <si>
    <t>input_sampling_filio1_11</t>
  </si>
  <si>
    <t>input_sampling_filio1_12</t>
  </si>
  <si>
    <t>input_sampling_filio1_13</t>
  </si>
  <si>
    <t>input_sampling_filio1_14</t>
  </si>
  <si>
    <t>input_sampling_filio1_15</t>
  </si>
  <si>
    <t>input_sampling_filio1_16</t>
  </si>
  <si>
    <t>input_sampling_filio1_17</t>
  </si>
  <si>
    <t>input_sampling_filio1_18</t>
  </si>
  <si>
    <t>input_sampling_filio1_19</t>
  </si>
  <si>
    <t>input_sampling_filio2_0</t>
  </si>
  <si>
    <t>input_sampling_filio2_1</t>
  </si>
  <si>
    <t>input_sampling_filio2_2</t>
  </si>
  <si>
    <t>input_sampling_filio2_3</t>
  </si>
  <si>
    <t>input_sampling_filio2_4</t>
  </si>
  <si>
    <t>input_sampling_filio2_5</t>
  </si>
  <si>
    <t>input_sampling_filio2_6</t>
  </si>
  <si>
    <t>input_sampling_filio2_7</t>
  </si>
  <si>
    <t>input_sampling_filio2_8</t>
  </si>
  <si>
    <t>input_sampling_filio2_9</t>
  </si>
  <si>
    <t>input_sampling_filio2_10</t>
  </si>
  <si>
    <t>input_sampling_filio2_11</t>
  </si>
  <si>
    <t>input_sampling_filio2_12</t>
  </si>
  <si>
    <t>input_sampling_filio2_13</t>
  </si>
  <si>
    <t>input_sampling_filio2_14</t>
  </si>
  <si>
    <t>input_sampling_filio2_15</t>
  </si>
  <si>
    <t>input_sampling_filio2_16</t>
  </si>
  <si>
    <t>input_sampling_filio2_17</t>
  </si>
  <si>
    <t>input_sampling_filio2_18</t>
  </si>
  <si>
    <t>input_sampling_filio2_19</t>
  </si>
  <si>
    <t>k_sic_per_10</t>
  </si>
  <si>
    <t>transition_window_time</t>
  </si>
  <si>
    <t>transition_frequency</t>
  </si>
  <si>
    <t>m V5.5.C</t>
  </si>
  <si>
    <t>EVCB_Ext_Appli_TT_TBL1P_Mgt</t>
  </si>
  <si>
    <t>TBL1P_INAT_index_INAT_index</t>
  </si>
  <si>
    <t>TBL1P_functionality_is_used</t>
  </si>
  <si>
    <t>TBL1P_INAT_index_nid_STM</t>
  </si>
  <si>
    <t>D V6.7.A</t>
  </si>
  <si>
    <t>EVCB_Ext_Appli_TT_MEMOR_Mgt</t>
  </si>
  <si>
    <t>MEMOR_INAT_index</t>
  </si>
  <si>
    <t>MEMOR_functionality_is_used</t>
  </si>
  <si>
    <t>M V7.3.B</t>
  </si>
  <si>
    <t>MEMOR_nid_STM</t>
  </si>
  <si>
    <t>EVCB_Ext_Appli_TT_FCT_MEMOR_Mgt</t>
  </si>
  <si>
    <t>FCT_MEMOR_functionality_is_used</t>
  </si>
  <si>
    <t>FCT_MEMOR_nid_STM</t>
  </si>
  <si>
    <t>A V5.5.C</t>
  </si>
  <si>
    <t>EVCB_Ext_Appli_TT_OTBL_Mgt</t>
  </si>
  <si>
    <t>OTBL_functionality_is_used</t>
  </si>
  <si>
    <t>forced_sleeping_mode_for_OTBL</t>
  </si>
  <si>
    <t>OTBL_INAT_index</t>
  </si>
  <si>
    <t>distance_thd_direction_change</t>
  </si>
  <si>
    <t>OTBL_nid_STM</t>
  </si>
  <si>
    <t>EVCB_Simplified_BTM_TT_Mgt</t>
  </si>
  <si>
    <t>is_BTM_active</t>
  </si>
  <si>
    <t>EVCB_P44_ON_RS485</t>
  </si>
  <si>
    <t>P44_on_RS485_source</t>
  </si>
  <si>
    <t>A V6.8.A</t>
  </si>
  <si>
    <t>P44_on_HL</t>
  </si>
  <si>
    <t>P44_on_HPTS</t>
  </si>
  <si>
    <t>EVCB_HL_PROTOCOL</t>
  </si>
  <si>
    <t>RS485_HL_enabled</t>
  </si>
  <si>
    <t>slave_address</t>
  </si>
  <si>
    <t>EVCB_RS485_Speed_Out_Manager</t>
  </si>
  <si>
    <t>ODO_type</t>
  </si>
  <si>
    <t>GEOS</t>
  </si>
  <si>
    <t>speed_output_enabled</t>
  </si>
  <si>
    <t>Parameters included in the current EVC_Train_Type_RTM class</t>
  </si>
  <si>
    <t>EVC_RTM_TT_Serial_Lines_Prmtr</t>
  </si>
  <si>
    <t>m V6.5.B</t>
  </si>
  <si>
    <t>Baudrate of the connection with the modem for GSM1</t>
  </si>
  <si>
    <t>line_speed_L1</t>
  </si>
  <si>
    <t>Baudrate of the connection with the modem for GSM2</t>
  </si>
  <si>
    <t>line_speed_L2</t>
  </si>
  <si>
    <t>EVC_RTM_TT_Radio_Modem_Prmtr</t>
  </si>
  <si>
    <t>radio_connection</t>
  </si>
  <si>
    <t>init_AT_command_1</t>
  </si>
  <si>
    <t>init_AT_command_2</t>
  </si>
  <si>
    <t>Parameters only accessible in Init Train_type world</t>
  </si>
  <si>
    <t xml:space="preserve">The next rows should be filled only if the values extracted from the selected group of "designer parameters" must be modified </t>
  </si>
  <si>
    <t>at the request or with the agreement of the ERTMS CORE designers</t>
  </si>
  <si>
    <r>
      <rPr>
        <b/>
        <sz val="12"/>
        <rFont val="Arial"/>
        <charset val="134"/>
      </rPr>
      <t>Parameters included in the current EVC_Train_Type_CORE class</t>
    </r>
    <r>
      <rPr>
        <sz val="12"/>
        <rFont val="Arial"/>
        <charset val="134"/>
      </rPr>
      <t xml:space="preserve"> (Init_Train_Type World)</t>
    </r>
  </si>
  <si>
    <t>EVCC_TT_Spec_Project_Function</t>
  </si>
  <si>
    <t>e_train_tracer_func_is_active</t>
  </si>
  <si>
    <t>interface_Hlog_or_TC_is_active</t>
  </si>
  <si>
    <t>EVCC_TT_EUROKVB_Conv_Table</t>
  </si>
  <si>
    <t>Nbr train configurations (length, brake-type, …)</t>
  </si>
  <si>
    <t>n_of_train_conf_for_EUROKVB</t>
  </si>
  <si>
    <t>Nbr brake states</t>
  </si>
  <si>
    <t>n_of_brake_degraded_status</t>
  </si>
  <si>
    <t>Identification of the Fixed Train Data Set applicable</t>
  </si>
  <si>
    <t>train_data_set_index</t>
  </si>
  <si>
    <t>EVCC_TT_L_Train_Conv_Table</t>
  </si>
  <si>
    <t>Nbr train length configuration</t>
  </si>
  <si>
    <t>n_of_l_train_value</t>
  </si>
  <si>
    <t>Value of train length</t>
  </si>
  <si>
    <t>l_train_from_train_conf</t>
  </si>
  <si>
    <t>EVCC_TT_Alsom_Val_For_Spd_Sup</t>
  </si>
  <si>
    <t>EVC_delay_to_intervene</t>
  </si>
  <si>
    <t>M V7.0.D
M V7.0.B</t>
  </si>
  <si>
    <t>EVCB_ODO_TTC_Miscellaneous_Prmtr</t>
  </si>
  <si>
    <t>Values here below must be verified only if the project modifies initialised values. In other case, the verification is done on the development sheet.</t>
  </si>
  <si>
    <t>safe_vnom_processing</t>
  </si>
  <si>
    <t>A V7.4.B</t>
  </si>
  <si>
    <t>v_est_on_FFFIS_STM</t>
  </si>
  <si>
    <t>EVCC_TT_AFB_Interface</t>
  </si>
  <si>
    <t>speed_sup_data_transmission (0 or 1)</t>
  </si>
  <si>
    <t>n_of_EVCC_TT_AFB_interface</t>
  </si>
  <si>
    <t>Column filled only if
previous cell contains  1</t>
  </si>
  <si>
    <t>speed_sup_data_eater</t>
  </si>
  <si>
    <t>GUI_used_for_AFB_or_ATO</t>
  </si>
  <si>
    <t>hidden_restriction_delay</t>
  </si>
  <si>
    <t>hidden_restriction_delay_coef</t>
  </si>
  <si>
    <t>hidden_restriction_sup_active</t>
  </si>
  <si>
    <t>recommended_deceleration_coef</t>
  </si>
  <si>
    <t>permit_spd_upward_chng_active</t>
  </si>
  <si>
    <t>stopping_point_max_distance</t>
  </si>
  <si>
    <t>permitted_speed_threshold</t>
  </si>
  <si>
    <t>max_permitted_speed_value</t>
  </si>
  <si>
    <t>rel_spd_announcement_active</t>
  </si>
  <si>
    <t>use_d_nvovtrp</t>
  </si>
  <si>
    <t>rel_spd_announcement_min_time</t>
  </si>
  <si>
    <t>rel_spd_announcement_min_dist</t>
  </si>
  <si>
    <t>A V7.6.A</t>
  </si>
  <si>
    <t>EVCB_TT_OTI_Config</t>
  </si>
  <si>
    <t>OTI_IS_ENABLED</t>
  </si>
  <si>
    <t>OTI_alternate_way_is_enabled</t>
  </si>
  <si>
    <t>OTI_K1_B1</t>
  </si>
  <si>
    <t>OTI_K1_B2</t>
  </si>
  <si>
    <t>OTI_K1_B3</t>
  </si>
  <si>
    <t>OTI_K1_B4</t>
  </si>
  <si>
    <t>OTI_K1_B5</t>
  </si>
  <si>
    <t>OTI_K1_B6</t>
  </si>
  <si>
    <t>OTI_K1_B7</t>
  </si>
  <si>
    <t>OTI_K1_B8</t>
  </si>
  <si>
    <t>OTI_K2_B1</t>
  </si>
  <si>
    <t>OTI_K2_B2</t>
  </si>
  <si>
    <t>OTI_K2_B3</t>
  </si>
  <si>
    <t>OTI_K2_B4</t>
  </si>
  <si>
    <t>OTI_K2_B5</t>
  </si>
  <si>
    <t>OTI_K2_B6</t>
  </si>
  <si>
    <t>OTI_K2_B7</t>
  </si>
  <si>
    <t>OTI_K2_B8</t>
  </si>
  <si>
    <t>OTI_K3_B1</t>
  </si>
  <si>
    <t>OTI_K3_B2</t>
  </si>
  <si>
    <t>OTI_K3_B3</t>
  </si>
  <si>
    <t>OTI_K3_B4</t>
  </si>
  <si>
    <t>OTI_K3_B5</t>
  </si>
  <si>
    <t>OTI_K3_B6</t>
  </si>
  <si>
    <t>OTI_K3_B7</t>
  </si>
  <si>
    <t>OTI_K3_B8</t>
  </si>
  <si>
    <t>A V7.7.B1</t>
  </si>
  <si>
    <t>OTI_TIMEOUT_IDENTIFICATION</t>
  </si>
  <si>
    <t>OTI_TIMEOUT_BINDING</t>
  </si>
  <si>
    <t>OTI_T_COMM_INIT</t>
  </si>
  <si>
    <t>OTI_T_COMM_TIMEOUT</t>
  </si>
  <si>
    <t>OTI_T_COMM_LOST</t>
  </si>
  <si>
    <t>OTI_T_COMM_RESTORE</t>
  </si>
  <si>
    <t>A V7.7.B2</t>
  </si>
  <si>
    <t>OTI_N_ITER</t>
  </si>
  <si>
    <t>OTI_N_INIT_LIVE</t>
  </si>
  <si>
    <t>OTI_M_RESTORE_LIVE</t>
  </si>
  <si>
    <t>EVCB_CPBI_TT_Config_Parameter</t>
  </si>
  <si>
    <t>number_of_CPBI_board</t>
  </si>
  <si>
    <t>TRU_data_on_Profibus_or_MVB</t>
  </si>
  <si>
    <t>EVCB_TT_TRU_MVB_Message_Data</t>
  </si>
  <si>
    <t>n_of_TRU_MVB_message_data</t>
  </si>
  <si>
    <t>TRU_message_ident</t>
  </si>
  <si>
    <t>TRU_msg_logical_reference</t>
  </si>
  <si>
    <t>EVCB_ODO_TTC_Versions</t>
  </si>
  <si>
    <t>A V6.7.A</t>
  </si>
  <si>
    <t>num_ODO_valid_configs</t>
  </si>
  <si>
    <t>ODO_software_version_expected</t>
  </si>
  <si>
    <t>EVCB_ODO_SDMU_TTC_Type</t>
  </si>
  <si>
    <t>Values here below must be introduced and verified only if the project modifies initialised values. In other case, the verification is done on the development sheet.</t>
  </si>
  <si>
    <t>ODO_SCMN</t>
  </si>
  <si>
    <t>ODO_SCMX</t>
  </si>
  <si>
    <t>ODO_SCMO</t>
  </si>
  <si>
    <t>ODO_ACMN</t>
  </si>
  <si>
    <t>0</t>
  </si>
  <si>
    <t>ODO_ACMX</t>
  </si>
  <si>
    <t>ODO_ACMO</t>
  </si>
  <si>
    <t>ODO_SVMN</t>
  </si>
  <si>
    <t>ODO_SVMX</t>
  </si>
  <si>
    <t>ODO_SVMO</t>
  </si>
  <si>
    <t>ODO_AVMN</t>
  </si>
  <si>
    <t>ODO_AVMX</t>
  </si>
  <si>
    <t>ODO_AVMO</t>
  </si>
  <si>
    <t>ODO_PLCF</t>
  </si>
  <si>
    <t>ODO_SSCF</t>
  </si>
  <si>
    <t>ODO_ACCF</t>
  </si>
  <si>
    <t>ODO_RDCF</t>
  </si>
  <si>
    <t>voltage_ref_high</t>
  </si>
  <si>
    <t>voltage_ref_low</t>
  </si>
  <si>
    <t>voltage_ref_normal</t>
  </si>
  <si>
    <t>D V6.2.C</t>
  </si>
  <si>
    <t>EVCB_MVB_TTC_Versions</t>
  </si>
  <si>
    <t>num_MVB_valid_configs</t>
  </si>
  <si>
    <t>MVB_software_version_expected</t>
  </si>
  <si>
    <t>A N7.1.C</t>
  </si>
  <si>
    <t>EVCB_Maintenance_TT_Info</t>
  </si>
  <si>
    <t>M 7.4.A</t>
  </si>
  <si>
    <t>loading_through_ethernet</t>
  </si>
  <si>
    <t>A N7.0.0</t>
  </si>
  <si>
    <t>EVCB_Pr_KER_parameters</t>
  </si>
  <si>
    <t>ATC2_bowl_Activated</t>
  </si>
  <si>
    <t>M N7.0.0
A N7.0.0</t>
  </si>
  <si>
    <t>ATC2_STM_ID</t>
  </si>
  <si>
    <t>A N7.1.B</t>
  </si>
  <si>
    <t>ATC2_CANAPE_ACTIVATION</t>
  </si>
  <si>
    <t>EVCB_TTC_DRM_DMI_Info_Prmtr</t>
  </si>
  <si>
    <t>M V7.4.0
A V7.4.B</t>
  </si>
  <si>
    <t>Dmi_Are_Multicab</t>
  </si>
  <si>
    <t>Closed_Cab_Error_Inhibition</t>
  </si>
  <si>
    <r>
      <rPr>
        <b/>
        <sz val="12"/>
        <rFont val="Arial"/>
        <charset val="134"/>
      </rPr>
      <t xml:space="preserve">Parameters included in the current EVC_GEOS_Train_Type_CORE class </t>
    </r>
    <r>
      <rPr>
        <sz val="12"/>
        <rFont val="Arial"/>
        <charset val="134"/>
      </rPr>
      <t>(Init_Train_Type World)</t>
    </r>
  </si>
  <si>
    <t>M N7.1.C
A V5.3.A</t>
  </si>
  <si>
    <t>ws_is_linked_to_sensor_1</t>
  </si>
  <si>
    <t>ws_is_linked_to_sensor_2</t>
  </si>
  <si>
    <t>ws_is_linked_to_sensor_3</t>
  </si>
  <si>
    <t>ws_is_linked_to_sensor_4</t>
  </si>
  <si>
    <t>A V6.2.D</t>
  </si>
  <si>
    <t>ws_common_mode_possible</t>
  </si>
  <si>
    <t>ws_q_min</t>
  </si>
  <si>
    <t>ws_er_q_max</t>
  </si>
  <si>
    <t>ws_er_q_min</t>
  </si>
  <si>
    <t>ws_ea_q_max</t>
  </si>
  <si>
    <t>ws_ea_q_min</t>
  </si>
  <si>
    <t>m V6.1.A</t>
  </si>
  <si>
    <t>q_for_extrapolation</t>
  </si>
  <si>
    <t>ss_is_linked_to_sensor_1</t>
  </si>
  <si>
    <t>ss_is_linked_to_sensor_2</t>
  </si>
  <si>
    <t>ss_is_linked_to_sensor_3</t>
  </si>
  <si>
    <t>ss_is_linked_to_sensor_4</t>
  </si>
  <si>
    <t>ss_common_mode_possible</t>
  </si>
  <si>
    <t>radar_q_min</t>
  </si>
  <si>
    <t>radar_er_q_max</t>
  </si>
  <si>
    <t>radar_er_q_min</t>
  </si>
  <si>
    <t>radar_ea_q_max</t>
  </si>
  <si>
    <t>radar_ea_q_min</t>
  </si>
  <si>
    <t>radar_max_speed</t>
  </si>
  <si>
    <t>radar_q_for_initialize</t>
  </si>
  <si>
    <t>radar_q_for_single_beam</t>
  </si>
  <si>
    <t>radar_q_for_low_quality</t>
  </si>
  <si>
    <t>radar_q_for_high_quality</t>
  </si>
  <si>
    <t>GI_imu_type</t>
  </si>
  <si>
    <t>A V5.5.B
M N7.0.0</t>
  </si>
  <si>
    <t>GI_q_min</t>
  </si>
  <si>
    <t>GI_er_q_max</t>
  </si>
  <si>
    <t>GI_er_q_min</t>
  </si>
  <si>
    <t>GI_ea_q_max</t>
  </si>
  <si>
    <t>GI_ea_q_min</t>
  </si>
  <si>
    <t>m V6.7.A
M N7.0.0</t>
  </si>
  <si>
    <t>GI_max_velocity_x</t>
  </si>
  <si>
    <t>A V6.7.A
M N7.0.0</t>
  </si>
  <si>
    <t>GI_max_velocity_y</t>
  </si>
  <si>
    <t>GI_max_velocity_z</t>
  </si>
  <si>
    <t>GI_min_vae_coefficient</t>
  </si>
  <si>
    <t>GI_max_vae_coefficient</t>
  </si>
  <si>
    <t>M 7.5.B
A N7.0.0</t>
  </si>
  <si>
    <t>GI_gnss_sacc_thd</t>
  </si>
  <si>
    <t>GI_gnss_sacc_coefficient</t>
  </si>
  <si>
    <t>M N7.0.0
A V6.7.A</t>
  </si>
  <si>
    <t>GI_speed_thd_for_direction</t>
  </si>
  <si>
    <t>GI_imu_working_mode</t>
  </si>
  <si>
    <t>GI_imu_latency</t>
  </si>
  <si>
    <t>HRoptis_q_min</t>
  </si>
  <si>
    <t>HRoptis_er_q_max</t>
  </si>
  <si>
    <t>HRoptis_er_q_min</t>
  </si>
  <si>
    <t>HRoptis_ea_q_max</t>
  </si>
  <si>
    <t>HRoptis_ea_q_min</t>
  </si>
  <si>
    <t>HRoptis_max_speed</t>
  </si>
  <si>
    <t>GEOS_TT_WS_IMU_Fusion_Algo</t>
  </si>
  <si>
    <t>slip_slide_duration</t>
  </si>
  <si>
    <t>slip_slide_entry_delta_spd_thd</t>
  </si>
  <si>
    <t>GEOS_TT_IMU_Check</t>
  </si>
  <si>
    <t>intra_imu_chk_variance</t>
  </si>
  <si>
    <t>intra_imu_acc_chk_range</t>
  </si>
  <si>
    <t>intra_imu_gyr_chk_range</t>
  </si>
  <si>
    <t>imu_speed_thd_for_variance</t>
  </si>
  <si>
    <t>imu_acc_variance_thd</t>
  </si>
  <si>
    <t>imu_gyr_variance_thd</t>
  </si>
  <si>
    <t>imu_acc_x_range_min</t>
  </si>
  <si>
    <t>imu_acc_x_range_max</t>
  </si>
  <si>
    <t>imu_acc_y_range_min</t>
  </si>
  <si>
    <t>imu_acc_y_range_max</t>
  </si>
  <si>
    <t>imu_acc_z_range_min</t>
  </si>
  <si>
    <t>imu_acc_z_range_max</t>
  </si>
  <si>
    <t>imu_gyr_x_range_min</t>
  </si>
  <si>
    <t>imu_gyr_x_range_max</t>
  </si>
  <si>
    <t>imu_gyr_y_range_min</t>
  </si>
  <si>
    <t>imu_gyr_y_range_max</t>
  </si>
  <si>
    <t>imu_gyr_z_range_min</t>
  </si>
  <si>
    <t>imu_gyr_z_range_max</t>
  </si>
  <si>
    <t>GEOS_TTC_Comp_Inter_Sensor</t>
  </si>
  <si>
    <t>start_proxi_delay</t>
  </si>
  <si>
    <t>start_proxi_abs_delta_spd_thd</t>
  </si>
  <si>
    <t>start_proxi_rel_delta_spd_thd</t>
  </si>
  <si>
    <t>start_paral_delay</t>
  </si>
  <si>
    <t>start_paral_delta_acc_thd</t>
  </si>
  <si>
    <t>loss_proxi_delay</t>
  </si>
  <si>
    <t>loss_proxi_abs_delta_spd_thd</t>
  </si>
  <si>
    <t>loss_proxi_rel_delta_spd_thd</t>
  </si>
  <si>
    <t>loss_paral_delay</t>
  </si>
  <si>
    <t>loss_paral_abs_delta_acc_thd</t>
  </si>
  <si>
    <t>GEOS_TTC_Adhesion_Loss_Crn</t>
  </si>
  <si>
    <t>slip_current_acc_thd</t>
  </si>
  <si>
    <t>slip_last_acc_thd</t>
  </si>
  <si>
    <t>slip_last_acc_duration</t>
  </si>
  <si>
    <t>slide_current_acc_thd</t>
  </si>
  <si>
    <t>slide_last_acc_thd</t>
  </si>
  <si>
    <t>slide_last_acc_duration</t>
  </si>
  <si>
    <t>start_adhesion_loss_weight_thd</t>
  </si>
  <si>
    <t>crn_1_start_adhesion_loss_coef</t>
  </si>
  <si>
    <t>crn_2_start_adhesion_loss_coef</t>
  </si>
  <si>
    <t>crn_3_start_adhesion_loss_coef</t>
  </si>
  <si>
    <t>crn_4_start_adhesion_loss_coef</t>
  </si>
  <si>
    <t>end_adhesion_loss_weight_thd</t>
  </si>
  <si>
    <t>crn_1_end_adhesion_loss_coef</t>
  </si>
  <si>
    <t>crn_2_end_adhesion_loss_coef</t>
  </si>
  <si>
    <t>crn_3_end_adhesion_loss_coef</t>
  </si>
  <si>
    <t>crn_4_end_adhesion_loss_coef</t>
  </si>
  <si>
    <t>A V75B</t>
  </si>
  <si>
    <t>traction_status_duration</t>
  </si>
  <si>
    <t>GEOS_TTC_Sensor_Intra_Check</t>
  </si>
  <si>
    <t>monitoring_only</t>
  </si>
  <si>
    <t>intra_chk_quality</t>
  </si>
  <si>
    <t>intra_chk_interval</t>
  </si>
  <si>
    <t>intra_chk_spd_trn_model</t>
  </si>
  <si>
    <t>intra_chk_acc_trn_model</t>
  </si>
  <si>
    <t>intra_chk_delta_spd_trn_model</t>
  </si>
  <si>
    <t>intra_chk_delta_dist_trn_model</t>
  </si>
  <si>
    <t>intra_chk_adhesion_delta_spd</t>
  </si>
  <si>
    <t>intra_chk_dot_presence</t>
  </si>
  <si>
    <t>intra_chk_dot_freezing</t>
  </si>
  <si>
    <t>intra_chk_motion</t>
  </si>
  <si>
    <t>intra_chk_spd_integration</t>
  </si>
  <si>
    <t>trn_model_spd_coef</t>
  </si>
  <si>
    <t>trn_model_acc_coef</t>
  </si>
  <si>
    <t>dot_exist_spd_thd</t>
  </si>
  <si>
    <t>dot_frozen_spd_thd</t>
  </si>
  <si>
    <t>motion_spd_thd</t>
  </si>
  <si>
    <t>spd_integration_rel_error</t>
  </si>
  <si>
    <t>spd_integration_spd_thd</t>
  </si>
  <si>
    <t>GEOS_TTC_Acc_Intra_Check</t>
  </si>
  <si>
    <t>intra_acco_chk_quality</t>
  </si>
  <si>
    <t>intra_acco_chk_variance</t>
  </si>
  <si>
    <t>intra_acco_chk_acc_trn_model</t>
  </si>
  <si>
    <t>intra_acco_chk_dot_presence</t>
  </si>
  <si>
    <t>acco_speed_thd</t>
  </si>
  <si>
    <t>acco_variance_thd</t>
  </si>
  <si>
    <t>trn_model_acco_acc_coef</t>
  </si>
  <si>
    <t>acco_dot_exist_spd_thd</t>
  </si>
  <si>
    <t>intra_acc3d_chk_quality</t>
  </si>
  <si>
    <t>intra_acc3d_chk_variance</t>
  </si>
  <si>
    <t>intra_acc3d_chk_acc_trn_model</t>
  </si>
  <si>
    <t>intra_acc3d_chk_dot_presence</t>
  </si>
  <si>
    <t xml:space="preserve">acc3d_speed_thd </t>
  </si>
  <si>
    <t>acc3d_variance_thd</t>
  </si>
  <si>
    <t>trn_model_acc3d_acc_coef</t>
  </si>
  <si>
    <t>acc3d_dot_exist_spd_thd</t>
  </si>
  <si>
    <t>inter_acc3d_chk_temperature</t>
  </si>
  <si>
    <t>inter_acc3d_chk_acceleration</t>
  </si>
  <si>
    <t>acc3d_chk_temp_alpha_inversed</t>
  </si>
  <si>
    <t>acc3d_chk_temp_thd</t>
  </si>
  <si>
    <t>acc3d_chk_acc_alpha_inversed</t>
  </si>
  <si>
    <t>acc3d_chk_acc_thd</t>
  </si>
  <si>
    <t>acc3d_test_at_initialisation</t>
  </si>
  <si>
    <t>acc3d_test_timeout</t>
  </si>
  <si>
    <t>acc3d_test_alpha_inversed</t>
  </si>
  <si>
    <t>GEOS_TTC_Sensor_Check</t>
  </si>
  <si>
    <t>inter_chk_dot_consistency</t>
  </si>
  <si>
    <t>inter_chk_speed_consistency</t>
  </si>
  <si>
    <t>common_mode_check</t>
  </si>
  <si>
    <t>sensor_invalidation_delay</t>
  </si>
  <si>
    <t>speed_consistency_delay</t>
  </si>
  <si>
    <t>speed_consistency_thd</t>
  </si>
  <si>
    <t>dot_speed_thd</t>
  </si>
  <si>
    <t>common_mode_delta_abs_speed</t>
  </si>
  <si>
    <t>common_mode_delta_rel_speed</t>
  </si>
  <si>
    <t>GEOS_TTC_Adhesion_Speed_Int</t>
  </si>
  <si>
    <t>delta_abs_speed_slip</t>
  </si>
  <si>
    <t>delta_abs_speed_slide</t>
  </si>
  <si>
    <t>delta_rel_speed_slip</t>
  </si>
  <si>
    <t>delta_rel_speed_slide</t>
  </si>
  <si>
    <t>delta_speed_growing_time</t>
  </si>
  <si>
    <t>GEOS_TTC_Adhesion_Acc_Int</t>
  </si>
  <si>
    <t>guaranteed_dec_in_slide</t>
  </si>
  <si>
    <t>guaranteed_acc_in_slip</t>
  </si>
  <si>
    <t>SB_guaranteed_efficiency</t>
  </si>
  <si>
    <t>GEOS_TTC_SIL4_vote_Dir_Mot</t>
  </si>
  <si>
    <t>acc_direction_confidence_level</t>
  </si>
  <si>
    <t>sil4_direction_thd</t>
  </si>
  <si>
    <t>acc_motion_confidence_level</t>
  </si>
  <si>
    <t>sil4_motion_thd</t>
  </si>
  <si>
    <t>GEOS_TTC_SIL4_vote_Dir_Mot_sensor</t>
  </si>
  <si>
    <t>sensor_direction_confidence_level</t>
  </si>
  <si>
    <t>sensor_motion_confidence_level</t>
  </si>
  <si>
    <t>EVCB_Pr_GEOS_Sensor_Inter_Control</t>
  </si>
  <si>
    <t>shared_gnss_antenna</t>
  </si>
  <si>
    <t>NOT_SHARED</t>
  </si>
  <si>
    <t>Parameters included in the current EVC_Train_Type_CORE_Maintenance class</t>
  </si>
  <si>
    <t>EVCB_Maintenance_Wheel_Sensor</t>
  </si>
  <si>
    <t>wheel_diameter_A_modif_allowed</t>
  </si>
  <si>
    <t>wheel_diameter_A</t>
  </si>
  <si>
    <t>wheel_diameter_B_modif_allowed</t>
  </si>
  <si>
    <t>wheel_diameter_B</t>
  </si>
  <si>
    <t>EVCB_Maintenance_Inter_Coef</t>
  </si>
  <si>
    <t>inter_coef_A_modif_allowed</t>
  </si>
  <si>
    <t>inter_coef_A</t>
  </si>
  <si>
    <t>inter_coef_B_modif_allowed</t>
  </si>
  <si>
    <t>inter_coef_B</t>
  </si>
  <si>
    <t>EVCB_Maintenance_Doppler_Coef</t>
  </si>
  <si>
    <t>doppler_coef_A_modif_allowed</t>
  </si>
  <si>
    <t>doppler_coef_A</t>
  </si>
  <si>
    <t>doppler_coef_B_modif_allowed</t>
  </si>
  <si>
    <t>doppler_coef_B</t>
  </si>
  <si>
    <t>EVCB_Maintenance_Radar_Coef</t>
  </si>
  <si>
    <t>radar_coef_A_modif_allowed</t>
  </si>
  <si>
    <t>radar_coef_A</t>
  </si>
  <si>
    <t>radar_coef_B_modif_allowed</t>
  </si>
  <si>
    <t>radar_coef_B</t>
  </si>
  <si>
    <t>EVCB_Maintenance_Accelero</t>
  </si>
  <si>
    <t>acc_bias_modif_allowed</t>
  </si>
  <si>
    <t>acc_bias</t>
  </si>
  <si>
    <t>M V6.5.A</t>
  </si>
  <si>
    <t>acc_COMET1_modif_allowed</t>
  </si>
  <si>
    <t>acc_COMET1_bias</t>
  </si>
  <si>
    <t>acc_COMET2_modif_allowed</t>
  </si>
  <si>
    <t>acc_COMET2_bias</t>
  </si>
  <si>
    <t>acc_COMET1_temp</t>
  </si>
  <si>
    <t>acc_COMET2_temp</t>
  </si>
  <si>
    <t>A V7.3.B</t>
  </si>
  <si>
    <t>EVCB_Maintenance_Slip_Slide_Awareness</t>
  </si>
  <si>
    <t>slip_slide_awareness_enabled</t>
  </si>
  <si>
    <t>mistrust_index_thd0</t>
  </si>
  <si>
    <t>mistrust_index_thd1</t>
  </si>
  <si>
    <t>mistrust_index_thd2</t>
  </si>
  <si>
    <t>mistrust_index_thd3</t>
  </si>
  <si>
    <t>speed_thd</t>
  </si>
  <si>
    <r>
      <rPr>
        <b/>
        <sz val="14"/>
        <rFont val="Arial"/>
        <charset val="134"/>
      </rPr>
      <t xml:space="preserve">Parameters included in the current EVC_Train_Type_TIU class </t>
    </r>
    <r>
      <rPr>
        <sz val="14"/>
        <rFont val="Arial"/>
        <charset val="134"/>
      </rPr>
      <t>(Init_Train_Type World)</t>
    </r>
  </si>
  <si>
    <t>EVCB_TIU_TTC_HPTS_Layer_Prmtr</t>
  </si>
  <si>
    <t>Values here below must be introduced and verified only if the project uses HPTS communication links. In other case, the verification is done on the development sheet.</t>
  </si>
  <si>
    <t xml:space="preserve">HPTS_LINE_1 </t>
  </si>
  <si>
    <t xml:space="preserve">HPTS_LINE_2 </t>
  </si>
  <si>
    <t>M V6.8.0</t>
  </si>
  <si>
    <t>HPTS_slave_address</t>
  </si>
  <si>
    <t>EVCB_TIU_TTC_Serial_Port</t>
  </si>
  <si>
    <t>Values here below must be introduced and verified only if the project uses the Serial Port half duplex links with characteristics different from the ERTMS choices. In other case, the verification is done on the development sheet.</t>
  </si>
  <si>
    <t>serial_port_active</t>
  </si>
  <si>
    <t>Additional info for FP</t>
  </si>
  <si>
    <t>serial_port_baudrate</t>
  </si>
  <si>
    <t>EVCB_TIU_TTC_AT_Command_Info</t>
  </si>
  <si>
    <t>n_of_AT_cmd</t>
  </si>
  <si>
    <t>serial_port_stop_bits</t>
  </si>
  <si>
    <t>serial_port_parity</t>
  </si>
  <si>
    <t>type_of_command</t>
  </si>
  <si>
    <t>serial_port_response_timeout</t>
  </si>
  <si>
    <t>data_length</t>
  </si>
  <si>
    <t>serial_port_init_timeout</t>
  </si>
  <si>
    <t>command</t>
  </si>
  <si>
    <r>
      <rPr>
        <b/>
        <sz val="12"/>
        <rFont val="Arial"/>
        <charset val="134"/>
      </rPr>
      <t xml:space="preserve">Parameters included in the current EVC_Train_Type_RTM class </t>
    </r>
    <r>
      <rPr>
        <sz val="12"/>
        <rFont val="Arial"/>
        <charset val="134"/>
      </rPr>
      <t>(Init_Train_Type World)</t>
    </r>
  </si>
  <si>
    <t>EVC_RTM_TTC_Network_Prmtr</t>
  </si>
  <si>
    <t>SDU_size</t>
  </si>
  <si>
    <t>EVC_RTM_TT_LAPB_Prmtr</t>
  </si>
  <si>
    <t>t1_timer</t>
  </si>
  <si>
    <t>delay_before_recalling</t>
  </si>
  <si>
    <t>retry</t>
  </si>
  <si>
    <t>window_size</t>
  </si>
  <si>
    <t>t4_timer</t>
  </si>
  <si>
    <t>max_HDLC_frame_data_length</t>
  </si>
  <si>
    <t>spare_4_1</t>
  </si>
  <si>
    <t>spare_4_2</t>
  </si>
  <si>
    <t>spare_4_3</t>
  </si>
  <si>
    <t>spare_4_4</t>
  </si>
  <si>
    <t>spare_4_5</t>
  </si>
  <si>
    <t>spare_4_6</t>
  </si>
  <si>
    <t>EVC_RTM_TTC_HW_Dependent_Prmtr</t>
  </si>
  <si>
    <t>RTS_stands_for_DTR</t>
  </si>
  <si>
    <t>d V6.5.B</t>
  </si>
  <si>
    <t>send_always_escape</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</si>
</sst>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0"/>
    <numFmt numFmtId="179" formatCode="0.000000000"/>
    <numFmt numFmtId="180" formatCode="0.00000000"/>
    <numFmt numFmtId="181" formatCode="0.0000"/>
  </numFmts>
  <fonts count="50">
    <font>
      <sz val="11"/>
      <color theme="1"/>
      <name val="Calibri"/>
      <charset val="134"/>
      <scheme val="minor"/>
    </font>
    <font>
      <sz val="10"/>
      <color theme="1"/>
      <name val="Arial"/>
      <charset val="134"/>
    </font>
    <font>
      <sz val="10"/>
      <name val="Arial"/>
      <charset val="134"/>
    </font>
    <font>
      <b/>
      <sz val="12"/>
      <name val="Arial"/>
      <charset val="134"/>
    </font>
    <font>
      <sz val="10"/>
      <name val="Arial"/>
      <charset val="134"/>
    </font>
    <font>
      <sz val="10"/>
      <color rgb="FF0070C0"/>
      <name val="Arial"/>
      <charset val="134"/>
    </font>
    <font>
      <b/>
      <sz val="11"/>
      <name val="Arial"/>
      <charset val="134"/>
    </font>
    <font>
      <b/>
      <sz val="12"/>
      <color theme="1"/>
      <name val="Arial"/>
      <charset val="134"/>
    </font>
    <font>
      <b/>
      <sz val="14"/>
      <name val="Arial"/>
      <charset val="134"/>
    </font>
    <font>
      <b/>
      <sz val="10"/>
      <name val="Arial"/>
      <charset val="134"/>
    </font>
    <font>
      <sz val="12"/>
      <color theme="1"/>
      <name val="Arial"/>
      <charset val="134"/>
    </font>
    <font>
      <sz val="8"/>
      <name val="Arial"/>
      <charset val="134"/>
    </font>
    <font>
      <sz val="10"/>
      <color rgb="FF0000FF"/>
      <name val="Arial"/>
      <charset val="134"/>
    </font>
    <font>
      <sz val="10"/>
      <color rgb="FFFF0000"/>
      <name val="Arial"/>
      <charset val="134"/>
    </font>
    <font>
      <sz val="10"/>
      <color indexed="48"/>
      <name val="Arial"/>
      <charset val="134"/>
    </font>
    <font>
      <sz val="10"/>
      <color indexed="12"/>
      <name val="Arial"/>
      <charset val="134"/>
    </font>
    <font>
      <sz val="10"/>
      <color indexed="10"/>
      <name val="Arial"/>
      <charset val="134"/>
    </font>
    <font>
      <b/>
      <sz val="10"/>
      <color indexed="10"/>
      <name val="Arial"/>
      <charset val="134"/>
    </font>
    <font>
      <sz val="10"/>
      <color theme="0" tint="-0.149998474074526"/>
      <name val="Arial"/>
      <charset val="134"/>
    </font>
    <font>
      <b/>
      <sz val="10"/>
      <color rgb="FFFF0000"/>
      <name val="Arial"/>
      <charset val="134"/>
    </font>
    <font>
      <b/>
      <sz val="16"/>
      <name val="Arial"/>
      <charset val="134"/>
    </font>
    <font>
      <sz val="10"/>
      <color theme="0"/>
      <name val="Arial"/>
      <charset val="134"/>
    </font>
    <font>
      <sz val="10"/>
      <color indexed="9"/>
      <name val="Arial"/>
      <charset val="134"/>
    </font>
    <font>
      <sz val="9"/>
      <name val="Arial Narrow"/>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2"/>
      <name val="Arial"/>
      <charset val="134"/>
    </font>
    <font>
      <sz val="14"/>
      <name val="Arial"/>
      <charset val="134"/>
    </font>
    <font>
      <b/>
      <sz val="8"/>
      <color indexed="10"/>
      <name val="Tahoma"/>
      <charset val="134"/>
    </font>
    <font>
      <b/>
      <sz val="8"/>
      <name val="Tahoma"/>
      <charset val="134"/>
    </font>
    <font>
      <b/>
      <sz val="9"/>
      <color indexed="10"/>
      <name val="Tahoma"/>
      <charset val="134"/>
    </font>
    <font>
      <sz val="8"/>
      <name val="Tahoma"/>
      <charset val="134"/>
    </font>
    <font>
      <sz val="9"/>
      <name val="Tahoma"/>
      <charset val="134"/>
    </font>
  </fonts>
  <fills count="49">
    <fill>
      <patternFill patternType="none"/>
    </fill>
    <fill>
      <patternFill patternType="gray125"/>
    </fill>
    <fill>
      <patternFill patternType="solid">
        <fgColor rgb="FFFFC000"/>
        <bgColor indexed="64"/>
      </patternFill>
    </fill>
    <fill>
      <patternFill patternType="solid">
        <fgColor indexed="42"/>
        <bgColor indexed="64"/>
      </patternFill>
    </fill>
    <fill>
      <patternFill patternType="solid">
        <fgColor indexed="22"/>
        <bgColor indexed="64"/>
      </patternFill>
    </fill>
    <fill>
      <patternFill patternType="solid">
        <fgColor rgb="FFFFFF99"/>
        <bgColor indexed="64"/>
      </patternFill>
    </fill>
    <fill>
      <patternFill patternType="solid">
        <fgColor theme="7" tint="0.399975585192419"/>
        <bgColor indexed="64"/>
      </patternFill>
    </fill>
    <fill>
      <patternFill patternType="solid">
        <fgColor indexed="43"/>
        <bgColor indexed="64"/>
      </patternFill>
    </fill>
    <fill>
      <patternFill patternType="solid">
        <fgColor indexed="23"/>
        <bgColor indexed="64"/>
      </patternFill>
    </fill>
    <fill>
      <patternFill patternType="solid">
        <fgColor rgb="FFCCFFCC"/>
        <bgColor indexed="64"/>
      </patternFill>
    </fill>
    <fill>
      <patternFill patternType="solid">
        <fgColor theme="0"/>
        <bgColor indexed="64"/>
      </patternFill>
    </fill>
    <fill>
      <patternFill patternType="solid">
        <fgColor indexed="9"/>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rgb="FFB2A1C7"/>
        <bgColor indexed="64"/>
      </patternFill>
    </fill>
    <fill>
      <patternFill patternType="solid">
        <fgColor indexed="55"/>
        <bgColor indexed="64"/>
      </patternFill>
    </fill>
    <fill>
      <patternFill patternType="solid">
        <fgColor rgb="FFC0C0C0"/>
        <bgColor indexed="64"/>
      </patternFill>
    </fill>
    <fill>
      <patternFill patternType="solid">
        <fgColor theme="0"/>
        <bgColor theme="0" tint="-0.14999847407452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9">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medium">
        <color auto="1"/>
      </right>
      <top style="medium">
        <color auto="1"/>
      </top>
      <bottom style="thin">
        <color auto="1"/>
      </bottom>
      <diagonal/>
    </border>
    <border>
      <left style="thin">
        <color auto="1"/>
      </left>
      <right style="thin">
        <color auto="1"/>
      </right>
      <top style="thin">
        <color auto="1"/>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style="medium">
        <color auto="1"/>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medium">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diagonal/>
    </border>
    <border>
      <left/>
      <right/>
      <top style="thin">
        <color auto="1"/>
      </top>
      <bottom style="thin">
        <color auto="1"/>
      </bottom>
      <diagonal/>
    </border>
    <border>
      <left/>
      <right style="thin">
        <color auto="1"/>
      </right>
      <top style="thin">
        <color auto="1"/>
      </top>
      <bottom style="medium">
        <color auto="1"/>
      </bottom>
      <diagonal/>
    </border>
    <border>
      <left style="thin">
        <color auto="1"/>
      </left>
      <right style="medium">
        <color auto="1"/>
      </right>
      <top/>
      <bottom/>
      <diagonal/>
    </border>
    <border>
      <left style="thin">
        <color auto="1"/>
      </left>
      <right/>
      <top style="medium">
        <color auto="1"/>
      </top>
      <bottom style="thin">
        <color auto="1"/>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medium">
        <color auto="1"/>
      </bottom>
      <diagonal/>
    </border>
    <border>
      <left/>
      <right/>
      <top/>
      <bottom style="medium">
        <color auto="1"/>
      </bottom>
      <diagonal/>
    </border>
    <border>
      <left/>
      <right/>
      <top style="thin">
        <color auto="1"/>
      </top>
      <bottom style="medium">
        <color auto="1"/>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top style="thin">
        <color auto="1"/>
      </top>
      <bottom/>
      <diagonal/>
    </border>
    <border>
      <left style="medium">
        <color auto="1"/>
      </left>
      <right/>
      <top style="thin">
        <color auto="1"/>
      </top>
      <bottom style="medium">
        <color auto="1"/>
      </bottom>
      <diagonal/>
    </border>
    <border>
      <left style="medium">
        <color auto="1"/>
      </left>
      <right style="thin">
        <color auto="1"/>
      </right>
      <top style="mediumDashed">
        <color auto="1"/>
      </top>
      <bottom style="mediumDashed">
        <color auto="1"/>
      </bottom>
      <diagonal/>
    </border>
    <border>
      <left/>
      <right style="thin">
        <color auto="1"/>
      </right>
      <top/>
      <bottom style="mediumDashed">
        <color auto="1"/>
      </bottom>
      <diagonal/>
    </border>
    <border>
      <left style="thin">
        <color auto="1"/>
      </left>
      <right style="thin">
        <color auto="1"/>
      </right>
      <top style="mediumDashed">
        <color auto="1"/>
      </top>
      <bottom style="mediumDashed">
        <color auto="1"/>
      </bottom>
      <diagonal/>
    </border>
    <border>
      <left style="thin">
        <color auto="1"/>
      </left>
      <right style="medium">
        <color auto="1"/>
      </right>
      <top style="medium">
        <color auto="1"/>
      </top>
      <bottom style="mediumDashed">
        <color auto="1"/>
      </bottom>
      <diagonal/>
    </border>
    <border>
      <left style="medium">
        <color auto="1"/>
      </left>
      <right style="thin">
        <color auto="1"/>
      </right>
      <top style="mediumDashed">
        <color auto="1"/>
      </top>
      <bottom style="thin">
        <color auto="1"/>
      </bottom>
      <diagonal/>
    </border>
    <border>
      <left/>
      <right style="thin">
        <color auto="1"/>
      </right>
      <top style="mediumDashed">
        <color auto="1"/>
      </top>
      <bottom style="thin">
        <color auto="1"/>
      </bottom>
      <diagonal/>
    </border>
    <border>
      <left style="thin">
        <color auto="1"/>
      </left>
      <right style="thin">
        <color auto="1"/>
      </right>
      <top style="mediumDashed">
        <color auto="1"/>
      </top>
      <bottom style="thin">
        <color auto="1"/>
      </bottom>
      <diagonal/>
    </border>
    <border>
      <left style="thin">
        <color auto="1"/>
      </left>
      <right style="medium">
        <color auto="1"/>
      </right>
      <top style="mediumDashed">
        <color auto="1"/>
      </top>
      <bottom style="thin">
        <color auto="1"/>
      </bottom>
      <diagonal/>
    </border>
    <border>
      <left style="medium">
        <color auto="1"/>
      </left>
      <right/>
      <top/>
      <bottom/>
      <diagonal/>
    </border>
    <border>
      <left/>
      <right style="medium">
        <color auto="1"/>
      </right>
      <top/>
      <bottom/>
      <diagonal/>
    </border>
    <border>
      <left/>
      <right style="thin">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right/>
      <top style="medium">
        <color auto="1"/>
      </top>
      <bottom style="medium">
        <color auto="1"/>
      </bottom>
      <diagonal/>
    </border>
    <border>
      <left style="thin">
        <color auto="1"/>
      </left>
      <right/>
      <top style="medium">
        <color auto="1"/>
      </top>
      <bottom/>
      <diagonal/>
    </border>
    <border>
      <left/>
      <right style="medium">
        <color auto="1"/>
      </right>
      <top style="medium">
        <color auto="1"/>
      </top>
      <bottom/>
      <diagonal/>
    </border>
    <border>
      <left style="thin">
        <color auto="1"/>
      </left>
      <right/>
      <top/>
      <bottom style="medium">
        <color auto="1"/>
      </bottom>
      <diagonal/>
    </border>
    <border>
      <left style="medium">
        <color auto="1"/>
      </left>
      <right/>
      <top/>
      <bottom style="medium">
        <color auto="1"/>
      </bottom>
      <diagonal/>
    </border>
    <border>
      <left style="hair">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0" fillId="18" borderId="71" applyNumberFormat="0" applyFont="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72" applyNumberFormat="0" applyFill="0" applyAlignment="0" applyProtection="0">
      <alignment vertical="center"/>
    </xf>
    <xf numFmtId="0" fontId="30" fillId="0" borderId="72" applyNumberFormat="0" applyFill="0" applyAlignment="0" applyProtection="0">
      <alignment vertical="center"/>
    </xf>
    <xf numFmtId="0" fontId="31" fillId="0" borderId="73" applyNumberFormat="0" applyFill="0" applyAlignment="0" applyProtection="0">
      <alignment vertical="center"/>
    </xf>
    <xf numFmtId="0" fontId="31" fillId="0" borderId="0" applyNumberFormat="0" applyFill="0" applyBorder="0" applyAlignment="0" applyProtection="0">
      <alignment vertical="center"/>
    </xf>
    <xf numFmtId="0" fontId="32" fillId="19" borderId="74" applyNumberFormat="0" applyAlignment="0" applyProtection="0">
      <alignment vertical="center"/>
    </xf>
    <xf numFmtId="0" fontId="33" fillId="20" borderId="75" applyNumberFormat="0" applyAlignment="0" applyProtection="0">
      <alignment vertical="center"/>
    </xf>
    <xf numFmtId="0" fontId="34" fillId="20" borderId="74" applyNumberFormat="0" applyAlignment="0" applyProtection="0">
      <alignment vertical="center"/>
    </xf>
    <xf numFmtId="0" fontId="35" fillId="21" borderId="76" applyNumberFormat="0" applyAlignment="0" applyProtection="0">
      <alignment vertical="center"/>
    </xf>
    <xf numFmtId="0" fontId="36" fillId="0" borderId="77" applyNumberFormat="0" applyFill="0" applyAlignment="0" applyProtection="0">
      <alignment vertical="center"/>
    </xf>
    <xf numFmtId="0" fontId="37" fillId="0" borderId="78" applyNumberFormat="0" applyFill="0" applyAlignment="0" applyProtection="0">
      <alignment vertical="center"/>
    </xf>
    <xf numFmtId="0" fontId="38" fillId="22" borderId="0" applyNumberFormat="0" applyBorder="0" applyAlignment="0" applyProtection="0">
      <alignment vertical="center"/>
    </xf>
    <xf numFmtId="0" fontId="39" fillId="23" borderId="0" applyNumberFormat="0" applyBorder="0" applyAlignment="0" applyProtection="0">
      <alignment vertical="center"/>
    </xf>
    <xf numFmtId="0" fontId="40" fillId="24" borderId="0" applyNumberFormat="0" applyBorder="0" applyAlignment="0" applyProtection="0">
      <alignment vertical="center"/>
    </xf>
    <xf numFmtId="0" fontId="41" fillId="25" borderId="0" applyNumberFormat="0" applyBorder="0" applyAlignment="0" applyProtection="0">
      <alignment vertical="center"/>
    </xf>
    <xf numFmtId="0" fontId="42" fillId="26" borderId="0" applyNumberFormat="0" applyBorder="0" applyAlignment="0" applyProtection="0">
      <alignment vertical="center"/>
    </xf>
    <xf numFmtId="0" fontId="42" fillId="27" borderId="0" applyNumberFormat="0" applyBorder="0" applyAlignment="0" applyProtection="0">
      <alignment vertical="center"/>
    </xf>
    <xf numFmtId="0" fontId="41" fillId="28" borderId="0" applyNumberFormat="0" applyBorder="0" applyAlignment="0" applyProtection="0">
      <alignment vertical="center"/>
    </xf>
    <xf numFmtId="0" fontId="41" fillId="29" borderId="0" applyNumberFormat="0" applyBorder="0" applyAlignment="0" applyProtection="0">
      <alignment vertical="center"/>
    </xf>
    <xf numFmtId="0" fontId="42" fillId="30" borderId="0" applyNumberFormat="0" applyBorder="0" applyAlignment="0" applyProtection="0">
      <alignment vertical="center"/>
    </xf>
    <xf numFmtId="0" fontId="42" fillId="31" borderId="0" applyNumberFormat="0" applyBorder="0" applyAlignment="0" applyProtection="0">
      <alignment vertical="center"/>
    </xf>
    <xf numFmtId="0" fontId="41" fillId="32" borderId="0" applyNumberFormat="0" applyBorder="0" applyAlignment="0" applyProtection="0">
      <alignment vertical="center"/>
    </xf>
    <xf numFmtId="0" fontId="41" fillId="33" borderId="0" applyNumberFormat="0" applyBorder="0" applyAlignment="0" applyProtection="0">
      <alignment vertical="center"/>
    </xf>
    <xf numFmtId="0" fontId="42" fillId="34" borderId="0" applyNumberFormat="0" applyBorder="0" applyAlignment="0" applyProtection="0">
      <alignment vertical="center"/>
    </xf>
    <xf numFmtId="0" fontId="42" fillId="35" borderId="0" applyNumberFormat="0" applyBorder="0" applyAlignment="0" applyProtection="0">
      <alignment vertical="center"/>
    </xf>
    <xf numFmtId="0" fontId="41" fillId="36" borderId="0" applyNumberFormat="0" applyBorder="0" applyAlignment="0" applyProtection="0">
      <alignment vertical="center"/>
    </xf>
    <xf numFmtId="0" fontId="41" fillId="37" borderId="0" applyNumberFormat="0" applyBorder="0" applyAlignment="0" applyProtection="0">
      <alignment vertical="center"/>
    </xf>
    <xf numFmtId="0" fontId="42" fillId="38" borderId="0" applyNumberFormat="0" applyBorder="0" applyAlignment="0" applyProtection="0">
      <alignment vertical="center"/>
    </xf>
    <xf numFmtId="0" fontId="42" fillId="39" borderId="0" applyNumberFormat="0" applyBorder="0" applyAlignment="0" applyProtection="0">
      <alignment vertical="center"/>
    </xf>
    <xf numFmtId="0" fontId="41" fillId="40" borderId="0" applyNumberFormat="0" applyBorder="0" applyAlignment="0" applyProtection="0">
      <alignment vertical="center"/>
    </xf>
    <xf numFmtId="0" fontId="41" fillId="41" borderId="0" applyNumberFormat="0" applyBorder="0" applyAlignment="0" applyProtection="0">
      <alignment vertical="center"/>
    </xf>
    <xf numFmtId="0" fontId="42" fillId="42" borderId="0" applyNumberFormat="0" applyBorder="0" applyAlignment="0" applyProtection="0">
      <alignment vertical="center"/>
    </xf>
    <xf numFmtId="0" fontId="42" fillId="43" borderId="0" applyNumberFormat="0" applyBorder="0" applyAlignment="0" applyProtection="0">
      <alignment vertical="center"/>
    </xf>
    <xf numFmtId="0" fontId="41" fillId="44" borderId="0" applyNumberFormat="0" applyBorder="0" applyAlignment="0" applyProtection="0">
      <alignment vertical="center"/>
    </xf>
    <xf numFmtId="0" fontId="41" fillId="45" borderId="0" applyNumberFormat="0" applyBorder="0" applyAlignment="0" applyProtection="0">
      <alignment vertical="center"/>
    </xf>
    <xf numFmtId="0" fontId="42" fillId="46" borderId="0" applyNumberFormat="0" applyBorder="0" applyAlignment="0" applyProtection="0">
      <alignment vertical="center"/>
    </xf>
    <xf numFmtId="0" fontId="42" fillId="47" borderId="0" applyNumberFormat="0" applyBorder="0" applyAlignment="0" applyProtection="0">
      <alignment vertical="center"/>
    </xf>
    <xf numFmtId="0" fontId="41" fillId="48" borderId="0" applyNumberFormat="0" applyBorder="0" applyAlignment="0" applyProtection="0">
      <alignment vertical="center"/>
    </xf>
    <xf numFmtId="0" fontId="4" fillId="0" borderId="0"/>
    <xf numFmtId="0" fontId="4" fillId="0" borderId="0"/>
  </cellStyleXfs>
  <cellXfs count="617">
    <xf numFmtId="0" fontId="0" fillId="0" borderId="0" xfId="0">
      <alignment vertical="center"/>
    </xf>
    <xf numFmtId="0" fontId="1" fillId="0" borderId="0" xfId="0" applyFont="1" applyFill="1" applyAlignment="1">
      <alignment horizontal="fill" wrapText="1"/>
    </xf>
    <xf numFmtId="0" fontId="2" fillId="0" borderId="0" xfId="0" applyFont="1" applyFill="1" applyAlignment="1"/>
    <xf numFmtId="0" fontId="2" fillId="0" borderId="0" xfId="0" applyFont="1" applyFill="1" applyAlignment="1">
      <alignment horizontal="center"/>
    </xf>
    <xf numFmtId="0" fontId="3" fillId="0" borderId="0" xfId="0" applyFont="1" applyFill="1" applyAlignment="1">
      <alignment horizontal="center"/>
    </xf>
    <xf numFmtId="1" fontId="4" fillId="2" borderId="1" xfId="0" applyNumberFormat="1"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wrapText="1"/>
    </xf>
    <xf numFmtId="1" fontId="4" fillId="5" borderId="1" xfId="0" applyNumberFormat="1" applyFont="1" applyFill="1" applyBorder="1" applyAlignment="1">
      <alignment horizontal="center" vertical="center"/>
    </xf>
    <xf numFmtId="1" fontId="4" fillId="6" borderId="1" xfId="0" applyNumberFormat="1" applyFont="1" applyFill="1" applyBorder="1" applyAlignment="1">
      <alignment horizontal="center"/>
    </xf>
    <xf numFmtId="0" fontId="5" fillId="0" borderId="1" xfId="0" applyFont="1" applyFill="1" applyBorder="1" applyAlignment="1">
      <alignment horizontal="center"/>
    </xf>
    <xf numFmtId="0" fontId="6" fillId="0" borderId="0" xfId="0" applyFont="1" applyFill="1" applyAlignment="1">
      <alignment horizontal="center" wrapText="1"/>
    </xf>
    <xf numFmtId="0" fontId="6" fillId="0" borderId="0" xfId="0" applyFont="1" applyFill="1" applyAlignment="1">
      <alignment horizontal="center"/>
    </xf>
    <xf numFmtId="0" fontId="6" fillId="0" borderId="0" xfId="0" applyFont="1" applyFill="1" applyAlignment="1">
      <alignment horizontal="right"/>
    </xf>
    <xf numFmtId="0" fontId="6" fillId="0" borderId="0" xfId="0" applyFont="1" applyFill="1" applyAlignment="1"/>
    <xf numFmtId="0" fontId="7" fillId="0" borderId="0" xfId="0" applyFont="1" applyFill="1" applyAlignment="1">
      <alignment horizontal="fill" wrapText="1"/>
    </xf>
    <xf numFmtId="0" fontId="4" fillId="0" borderId="0" xfId="0" applyFont="1" applyFill="1" applyAlignment="1"/>
    <xf numFmtId="0" fontId="4" fillId="0" borderId="0" xfId="0" applyFont="1" applyFill="1" applyAlignment="1">
      <alignment horizontal="center"/>
    </xf>
    <xf numFmtId="0" fontId="8" fillId="0" borderId="0" xfId="0" applyFont="1" applyFill="1" applyAlignment="1">
      <alignment horizontal="center"/>
    </xf>
    <xf numFmtId="0" fontId="8" fillId="0" borderId="0" xfId="0" applyFont="1" applyFill="1" applyAlignment="1"/>
    <xf numFmtId="0" fontId="8" fillId="0" borderId="2" xfId="0" applyFont="1" applyFill="1" applyBorder="1" applyAlignment="1"/>
    <xf numFmtId="0" fontId="2" fillId="0" borderId="3" xfId="0" applyFont="1" applyFill="1" applyBorder="1" applyAlignment="1">
      <alignment horizontal="center"/>
    </xf>
    <xf numFmtId="0" fontId="2" fillId="0" borderId="3" xfId="0" applyFont="1" applyFill="1" applyBorder="1" applyAlignment="1"/>
    <xf numFmtId="1" fontId="4" fillId="7" borderId="4" xfId="0" applyNumberFormat="1" applyFont="1" applyFill="1" applyBorder="1" applyAlignment="1">
      <alignment horizontal="center" vertical="center"/>
    </xf>
    <xf numFmtId="0" fontId="9" fillId="0" borderId="2" xfId="0" applyFont="1" applyFill="1" applyBorder="1" applyAlignment="1"/>
    <xf numFmtId="0" fontId="4" fillId="0" borderId="3" xfId="0" applyFont="1" applyFill="1" applyBorder="1" applyAlignment="1">
      <alignment horizontal="center"/>
    </xf>
    <xf numFmtId="0" fontId="4" fillId="0" borderId="3" xfId="0" applyFont="1" applyFill="1" applyBorder="1" applyAlignment="1"/>
    <xf numFmtId="0" fontId="10" fillId="0" borderId="0" xfId="0" applyFont="1" applyFill="1" applyAlignment="1">
      <alignment horizontal="fill" wrapText="1"/>
    </xf>
    <xf numFmtId="0" fontId="2" fillId="0" borderId="5" xfId="0" applyFont="1" applyFill="1" applyBorder="1" applyAlignment="1"/>
    <xf numFmtId="0" fontId="2" fillId="0" borderId="6" xfId="0" applyFont="1" applyFill="1" applyBorder="1" applyAlignment="1">
      <alignment horizontal="center"/>
    </xf>
    <xf numFmtId="0" fontId="4" fillId="0" borderId="7" xfId="0" applyFont="1" applyFill="1" applyBorder="1" applyAlignment="1">
      <alignment wrapText="1"/>
    </xf>
    <xf numFmtId="0" fontId="2" fillId="2" borderId="8" xfId="0" applyFont="1" applyFill="1" applyBorder="1" applyAlignment="1">
      <alignment horizontal="center"/>
    </xf>
    <xf numFmtId="0" fontId="4" fillId="0" borderId="1" xfId="0" applyFont="1" applyFill="1" applyBorder="1" applyAlignment="1">
      <alignment horizontal="left"/>
    </xf>
    <xf numFmtId="0" fontId="4" fillId="0" borderId="1" xfId="0" applyFont="1" applyFill="1" applyBorder="1" applyAlignment="1">
      <alignment horizontal="center"/>
    </xf>
    <xf numFmtId="0" fontId="4" fillId="0" borderId="1" xfId="0" applyFont="1" applyFill="1" applyBorder="1" applyAlignment="1"/>
    <xf numFmtId="0" fontId="2" fillId="0" borderId="9" xfId="0" applyFont="1" applyFill="1" applyBorder="1" applyAlignment="1">
      <alignment horizontal="center"/>
    </xf>
    <xf numFmtId="0" fontId="2" fillId="0" borderId="7" xfId="0" applyFont="1" applyFill="1" applyBorder="1" applyAlignment="1">
      <alignment horizontal="center"/>
    </xf>
    <xf numFmtId="0" fontId="9" fillId="0" borderId="10" xfId="0" applyFont="1" applyFill="1" applyBorder="1" applyAlignment="1"/>
    <xf numFmtId="0" fontId="4" fillId="0" borderId="11" xfId="0" applyFont="1" applyFill="1" applyBorder="1" applyAlignment="1">
      <alignment horizontal="left"/>
    </xf>
    <xf numFmtId="0" fontId="4" fillId="0" borderId="12" xfId="0" applyFont="1" applyFill="1" applyBorder="1" applyAlignment="1"/>
    <xf numFmtId="0" fontId="4" fillId="2" borderId="1" xfId="0" applyFont="1" applyFill="1" applyBorder="1" applyAlignment="1">
      <alignment horizontal="center"/>
    </xf>
    <xf numFmtId="0" fontId="2" fillId="0" borderId="13" xfId="0" applyFont="1" applyFill="1" applyBorder="1" applyAlignment="1"/>
    <xf numFmtId="0" fontId="2" fillId="0" borderId="1" xfId="0" applyFont="1" applyFill="1" applyBorder="1" applyAlignment="1">
      <alignment horizontal="center"/>
    </xf>
    <xf numFmtId="0" fontId="4" fillId="0" borderId="14" xfId="0" applyFont="1" applyFill="1" applyBorder="1" applyAlignment="1">
      <alignment wrapText="1"/>
    </xf>
    <xf numFmtId="0" fontId="4" fillId="8" borderId="15" xfId="0" applyFont="1" applyFill="1" applyBorder="1" applyAlignment="1"/>
    <xf numFmtId="0" fontId="2" fillId="0" borderId="16" xfId="0" applyFont="1" applyFill="1" applyBorder="1" applyAlignment="1"/>
    <xf numFmtId="0" fontId="4" fillId="0" borderId="17" xfId="0" applyFont="1" applyFill="1" applyBorder="1" applyAlignment="1">
      <alignment wrapText="1"/>
    </xf>
    <xf numFmtId="0" fontId="4" fillId="8" borderId="18" xfId="0" applyFont="1" applyFill="1" applyBorder="1" applyAlignment="1"/>
    <xf numFmtId="0" fontId="2" fillId="0" borderId="19" xfId="0" applyFont="1" applyFill="1" applyBorder="1" applyAlignment="1"/>
    <xf numFmtId="0" fontId="4" fillId="0" borderId="20" xfId="0" applyFont="1" applyFill="1" applyBorder="1" applyAlignment="1">
      <alignment horizontal="center"/>
    </xf>
    <xf numFmtId="0" fontId="4" fillId="0" borderId="21" xfId="0" applyFont="1" applyFill="1" applyBorder="1" applyAlignment="1">
      <alignment wrapText="1"/>
    </xf>
    <xf numFmtId="0" fontId="4" fillId="9" borderId="20" xfId="0" applyFont="1" applyFill="1" applyBorder="1" applyAlignment="1">
      <alignment horizontal="center" vertical="center"/>
    </xf>
    <xf numFmtId="0" fontId="4" fillId="8" borderId="22" xfId="0" applyFont="1" applyFill="1" applyBorder="1" applyAlignment="1"/>
    <xf numFmtId="0" fontId="9" fillId="0" borderId="23" xfId="0" applyFont="1" applyFill="1" applyBorder="1" applyAlignment="1"/>
    <xf numFmtId="0" fontId="2" fillId="0" borderId="24" xfId="0" applyFont="1" applyFill="1" applyBorder="1" applyAlignment="1">
      <alignment horizontal="center"/>
    </xf>
    <xf numFmtId="0" fontId="4" fillId="0" borderId="24" xfId="0" applyFont="1" applyFill="1" applyBorder="1" applyAlignment="1"/>
    <xf numFmtId="0" fontId="5" fillId="10" borderId="25" xfId="0" applyFont="1" applyFill="1" applyBorder="1" applyAlignment="1">
      <alignment horizontal="center" wrapText="1"/>
    </xf>
    <xf numFmtId="0" fontId="3" fillId="0" borderId="0" xfId="0" applyFont="1" applyFill="1" applyAlignment="1"/>
    <xf numFmtId="0" fontId="5" fillId="10" borderId="18" xfId="0" applyFont="1" applyFill="1" applyBorder="1" applyAlignment="1">
      <alignment horizontal="center" wrapText="1"/>
    </xf>
    <xf numFmtId="0" fontId="2" fillId="0" borderId="20" xfId="0" applyFont="1" applyFill="1" applyBorder="1" applyAlignment="1">
      <alignment horizontal="center"/>
    </xf>
    <xf numFmtId="0" fontId="4" fillId="0" borderId="13" xfId="0" applyFont="1" applyFill="1" applyBorder="1" applyAlignment="1"/>
    <xf numFmtId="0" fontId="4" fillId="0" borderId="26" xfId="0" applyFont="1" applyFill="1" applyBorder="1" applyAlignment="1"/>
    <xf numFmtId="0" fontId="5" fillId="10" borderId="22" xfId="0" applyFont="1" applyFill="1" applyBorder="1" applyAlignment="1">
      <alignment horizontal="center" wrapText="1"/>
    </xf>
    <xf numFmtId="0" fontId="9" fillId="0" borderId="0" xfId="0" applyFont="1" applyFill="1" applyAlignment="1"/>
    <xf numFmtId="0" fontId="2" fillId="0" borderId="0" xfId="0" applyFont="1" applyFill="1" applyAlignment="1">
      <alignment wrapText="1"/>
    </xf>
    <xf numFmtId="0" fontId="9" fillId="0" borderId="27" xfId="0" applyFont="1" applyFill="1" applyBorder="1" applyAlignment="1"/>
    <xf numFmtId="0" fontId="9" fillId="0" borderId="28" xfId="0" applyFont="1" applyFill="1" applyBorder="1" applyAlignment="1">
      <alignment horizontal="center"/>
    </xf>
    <xf numFmtId="0" fontId="2" fillId="0" borderId="29" xfId="0" applyFont="1" applyFill="1" applyBorder="1" applyAlignment="1"/>
    <xf numFmtId="0" fontId="2" fillId="8" borderId="7" xfId="0" applyFont="1" applyFill="1" applyBorder="1" applyAlignment="1">
      <alignment horizontal="center"/>
    </xf>
    <xf numFmtId="0" fontId="11" fillId="0" borderId="30" xfId="0" applyFont="1" applyFill="1" applyBorder="1" applyAlignment="1"/>
    <xf numFmtId="0" fontId="11" fillId="0" borderId="31" xfId="0" applyFont="1" applyFill="1" applyBorder="1" applyAlignment="1">
      <alignment horizontal="center"/>
    </xf>
    <xf numFmtId="0" fontId="2" fillId="0" borderId="32" xfId="0" applyFont="1" applyFill="1" applyBorder="1" applyAlignment="1"/>
    <xf numFmtId="0" fontId="2" fillId="8" borderId="33" xfId="0" applyFont="1" applyFill="1" applyBorder="1" applyAlignment="1">
      <alignment horizontal="center"/>
    </xf>
    <xf numFmtId="0" fontId="2" fillId="0" borderId="23" xfId="0" applyFont="1" applyFill="1" applyBorder="1" applyAlignment="1">
      <alignment vertical="center"/>
    </xf>
    <xf numFmtId="0" fontId="2" fillId="0" borderId="24" xfId="0" applyFont="1" applyFill="1" applyBorder="1" applyAlignment="1">
      <alignment horizontal="center" vertical="center"/>
    </xf>
    <xf numFmtId="0" fontId="2" fillId="6" borderId="25" xfId="0" applyFont="1" applyFill="1" applyBorder="1" applyAlignment="1">
      <alignment horizontal="center"/>
    </xf>
    <xf numFmtId="0" fontId="4" fillId="0" borderId="13" xfId="0" applyFont="1" applyFill="1" applyBorder="1" applyAlignment="1">
      <alignment horizontal="right" vertical="center"/>
    </xf>
    <xf numFmtId="0" fontId="4" fillId="0" borderId="1" xfId="0" applyFont="1" applyFill="1" applyBorder="1" applyAlignment="1">
      <alignment horizontal="center" vertical="center"/>
    </xf>
    <xf numFmtId="0" fontId="4" fillId="2" borderId="18" xfId="0" applyFont="1" applyFill="1" applyBorder="1" applyAlignment="1">
      <alignment horizontal="center"/>
    </xf>
    <xf numFmtId="1" fontId="4" fillId="5" borderId="18" xfId="0" applyNumberFormat="1" applyFont="1" applyFill="1" applyBorder="1" applyAlignment="1">
      <alignment horizontal="center"/>
    </xf>
    <xf numFmtId="0" fontId="4" fillId="0" borderId="10" xfId="0" applyFont="1" applyFill="1" applyBorder="1" applyAlignment="1"/>
    <xf numFmtId="0" fontId="9" fillId="0" borderId="31" xfId="0" applyFont="1" applyFill="1" applyBorder="1" applyAlignment="1">
      <alignment horizontal="center"/>
    </xf>
    <xf numFmtId="0" fontId="4" fillId="0" borderId="33" xfId="0" applyFont="1" applyFill="1" applyBorder="1" applyAlignment="1"/>
    <xf numFmtId="0" fontId="4" fillId="11" borderId="34" xfId="0" applyFont="1" applyFill="1" applyBorder="1" applyAlignment="1"/>
    <xf numFmtId="0" fontId="4" fillId="6" borderId="18" xfId="0" applyFont="1" applyFill="1" applyBorder="1" applyAlignment="1">
      <alignment horizontal="center"/>
    </xf>
    <xf numFmtId="0" fontId="4" fillId="0" borderId="13" xfId="0" applyFont="1" applyFill="1" applyBorder="1" applyAlignment="1">
      <alignment horizontal="right"/>
    </xf>
    <xf numFmtId="0" fontId="4" fillId="0" borderId="35" xfId="0" applyFont="1" applyFill="1" applyBorder="1" applyAlignment="1">
      <alignment horizontal="center"/>
    </xf>
    <xf numFmtId="0" fontId="4" fillId="0" borderId="14" xfId="0" applyFont="1" applyFill="1" applyBorder="1" applyAlignment="1"/>
    <xf numFmtId="0" fontId="4" fillId="8" borderId="11" xfId="0" applyFont="1" applyFill="1" applyBorder="1" applyAlignment="1"/>
    <xf numFmtId="0" fontId="4" fillId="0" borderId="6" xfId="0" applyFont="1" applyFill="1" applyBorder="1" applyAlignment="1">
      <alignment horizontal="center"/>
    </xf>
    <xf numFmtId="0" fontId="4" fillId="0" borderId="24" xfId="0" applyFont="1" applyFill="1" applyBorder="1" applyAlignment="1">
      <alignment horizontal="center"/>
    </xf>
    <xf numFmtId="0" fontId="4" fillId="0" borderId="25" xfId="0" applyFont="1" applyFill="1" applyBorder="1" applyAlignment="1">
      <alignment horizontal="center"/>
    </xf>
    <xf numFmtId="0" fontId="4" fillId="8" borderId="14" xfId="0" applyFont="1" applyFill="1" applyBorder="1" applyAlignment="1"/>
    <xf numFmtId="49" fontId="4" fillId="3" borderId="1" xfId="0" applyNumberFormat="1" applyFont="1" applyFill="1" applyBorder="1" applyAlignment="1">
      <alignment horizontal="center"/>
    </xf>
    <xf numFmtId="0" fontId="4" fillId="3" borderId="1" xfId="0" applyFont="1" applyFill="1" applyBorder="1" applyAlignment="1">
      <alignment horizontal="center"/>
    </xf>
    <xf numFmtId="0" fontId="4" fillId="3" borderId="18" xfId="0" applyFont="1" applyFill="1" applyBorder="1" applyAlignment="1">
      <alignment horizontal="center"/>
    </xf>
    <xf numFmtId="0" fontId="4" fillId="0" borderId="20" xfId="0" applyFont="1" applyFill="1" applyBorder="1" applyAlignment="1"/>
    <xf numFmtId="0" fontId="4" fillId="8" borderId="21" xfId="0" applyFont="1" applyFill="1" applyBorder="1" applyAlignment="1"/>
    <xf numFmtId="0" fontId="4" fillId="3" borderId="20" xfId="0" applyFont="1" applyFill="1" applyBorder="1" applyAlignment="1">
      <alignment horizontal="center"/>
    </xf>
    <xf numFmtId="1" fontId="4" fillId="3" borderId="20" xfId="0" applyNumberFormat="1" applyFont="1" applyFill="1" applyBorder="1" applyAlignment="1">
      <alignment horizontal="center"/>
    </xf>
    <xf numFmtId="1" fontId="4" fillId="3" borderId="22" xfId="0" applyNumberFormat="1" applyFont="1" applyFill="1" applyBorder="1" applyAlignment="1">
      <alignment horizontal="center"/>
    </xf>
    <xf numFmtId="0" fontId="2" fillId="0" borderId="0" xfId="0" applyFont="1" applyFill="1" applyAlignment="1">
      <alignment horizontal="center" wrapText="1"/>
    </xf>
    <xf numFmtId="0" fontId="4" fillId="0" borderId="29" xfId="0" applyFont="1" applyFill="1" applyBorder="1" applyAlignment="1"/>
    <xf numFmtId="0" fontId="4" fillId="0" borderId="32" xfId="0" applyFont="1" applyFill="1" applyBorder="1" applyAlignment="1"/>
    <xf numFmtId="0" fontId="4" fillId="0" borderId="19" xfId="0" applyFont="1" applyFill="1" applyBorder="1" applyAlignment="1">
      <alignment horizontal="right" vertical="center"/>
    </xf>
    <xf numFmtId="0" fontId="4" fillId="0" borderId="36" xfId="0" applyFont="1" applyFill="1" applyBorder="1" applyAlignment="1">
      <alignment horizontal="center" vertical="center" wrapText="1"/>
    </xf>
    <xf numFmtId="0" fontId="4" fillId="0" borderId="20" xfId="0" applyFont="1" applyFill="1" applyBorder="1" applyAlignment="1">
      <alignment vertical="center"/>
    </xf>
    <xf numFmtId="0" fontId="2" fillId="4" borderId="22" xfId="0" applyFont="1" applyFill="1" applyBorder="1" applyAlignment="1">
      <alignment horizontal="center" wrapText="1"/>
    </xf>
    <xf numFmtId="0" fontId="4" fillId="0" borderId="0" xfId="0" applyFont="1" applyFill="1" applyAlignment="1">
      <alignment horizontal="center" wrapText="1"/>
    </xf>
    <xf numFmtId="0" fontId="2" fillId="8" borderId="37" xfId="0" applyFont="1" applyFill="1" applyBorder="1" applyAlignment="1">
      <alignment horizontal="center"/>
    </xf>
    <xf numFmtId="0" fontId="4" fillId="0" borderId="10" xfId="0" applyFont="1" applyFill="1" applyBorder="1" applyAlignment="1">
      <alignment horizontal="right" vertical="center"/>
    </xf>
    <xf numFmtId="0" fontId="4" fillId="0" borderId="32" xfId="0" applyFont="1" applyFill="1" applyBorder="1" applyAlignment="1">
      <alignment horizontal="center" vertical="center" wrapText="1"/>
    </xf>
    <xf numFmtId="0" fontId="4" fillId="0" borderId="12" xfId="0" applyFont="1" applyFill="1" applyBorder="1" applyAlignment="1">
      <alignment vertical="center" wrapText="1"/>
    </xf>
    <xf numFmtId="49" fontId="4" fillId="3" borderId="18" xfId="0" applyNumberFormat="1" applyFont="1" applyFill="1" applyBorder="1" applyAlignment="1">
      <alignment horizontal="center" vertical="center" wrapText="1"/>
    </xf>
    <xf numFmtId="0" fontId="4" fillId="0" borderId="36" xfId="0" applyFont="1" applyFill="1" applyBorder="1" applyAlignment="1">
      <alignment horizontal="center" vertical="center"/>
    </xf>
    <xf numFmtId="0" fontId="4" fillId="0" borderId="21" xfId="0" applyFont="1" applyFill="1" applyBorder="1" applyAlignment="1">
      <alignment vertical="center" wrapText="1"/>
    </xf>
    <xf numFmtId="49" fontId="4" fillId="3" borderId="22" xfId="0" applyNumberFormat="1" applyFont="1" applyFill="1" applyBorder="1" applyAlignment="1">
      <alignment horizontal="center" vertical="center"/>
    </xf>
    <xf numFmtId="0" fontId="9" fillId="0" borderId="23" xfId="0" applyFont="1" applyFill="1" applyBorder="1" applyAlignment="1">
      <alignment horizontal="left" vertical="center"/>
    </xf>
    <xf numFmtId="0" fontId="4" fillId="0" borderId="24" xfId="0" applyFont="1" applyFill="1" applyBorder="1" applyAlignment="1">
      <alignment horizontal="center" vertical="center"/>
    </xf>
    <xf numFmtId="0" fontId="4" fillId="0" borderId="38" xfId="0" applyFont="1" applyFill="1" applyBorder="1" applyAlignment="1"/>
    <xf numFmtId="49" fontId="4" fillId="9" borderId="25" xfId="0" applyNumberFormat="1" applyFont="1" applyFill="1" applyBorder="1" applyAlignment="1">
      <alignment horizontal="center"/>
    </xf>
    <xf numFmtId="1" fontId="4" fillId="6" borderId="18" xfId="0" applyNumberFormat="1" applyFont="1" applyFill="1" applyBorder="1" applyAlignment="1">
      <alignment horizontal="center"/>
    </xf>
    <xf numFmtId="0" fontId="9" fillId="0" borderId="13" xfId="0" applyFont="1" applyFill="1" applyBorder="1" applyAlignment="1">
      <alignment horizontal="right" vertical="center"/>
    </xf>
    <xf numFmtId="0" fontId="2" fillId="0" borderId="1" xfId="0" applyFont="1" applyFill="1" applyBorder="1" applyAlignment="1"/>
    <xf numFmtId="0" fontId="2" fillId="0" borderId="23" xfId="0" applyFont="1" applyFill="1" applyBorder="1" applyAlignment="1">
      <alignment horizontal="center"/>
    </xf>
    <xf numFmtId="0" fontId="2" fillId="0" borderId="25" xfId="0" applyFont="1" applyFill="1" applyBorder="1" applyAlignment="1">
      <alignment horizontal="center"/>
    </xf>
    <xf numFmtId="1" fontId="12" fillId="12" borderId="1" xfId="0" applyNumberFormat="1" applyFont="1" applyFill="1" applyBorder="1" applyAlignment="1">
      <alignment horizontal="center"/>
    </xf>
    <xf numFmtId="0" fontId="4" fillId="0" borderId="9" xfId="0" applyFont="1" applyFill="1" applyBorder="1" applyAlignment="1">
      <alignment horizontal="center" vertical="center" wrapText="1"/>
    </xf>
    <xf numFmtId="0" fontId="4" fillId="0" borderId="9" xfId="0" applyFont="1" applyFill="1" applyBorder="1" applyAlignment="1">
      <alignment horizontal="center" vertical="center"/>
    </xf>
    <xf numFmtId="0" fontId="4" fillId="0" borderId="39" xfId="0" applyFont="1" applyFill="1" applyBorder="1" applyAlignment="1">
      <alignment horizontal="center" vertical="center"/>
    </xf>
    <xf numFmtId="0" fontId="4" fillId="9" borderId="1" xfId="0" applyFont="1" applyFill="1" applyBorder="1" applyAlignment="1">
      <alignment horizontal="center"/>
    </xf>
    <xf numFmtId="0" fontId="4" fillId="9" borderId="18" xfId="0" applyFont="1" applyFill="1" applyBorder="1" applyAlignment="1">
      <alignment horizontal="center"/>
    </xf>
    <xf numFmtId="0" fontId="4" fillId="0" borderId="1" xfId="0" applyFont="1" applyFill="1" applyBorder="1" applyAlignment="1">
      <alignment wrapText="1"/>
    </xf>
    <xf numFmtId="1" fontId="12" fillId="12" borderId="12" xfId="0" applyNumberFormat="1" applyFont="1" applyFill="1" applyBorder="1" applyAlignment="1">
      <alignment horizontal="center"/>
    </xf>
    <xf numFmtId="1" fontId="12" fillId="12" borderId="14" xfId="0" applyNumberFormat="1" applyFont="1" applyFill="1" applyBorder="1" applyAlignment="1">
      <alignment horizontal="center"/>
    </xf>
    <xf numFmtId="0" fontId="4" fillId="0" borderId="20" xfId="0" applyFont="1" applyFill="1" applyBorder="1" applyAlignment="1">
      <alignment horizontal="center" vertical="center"/>
    </xf>
    <xf numFmtId="0" fontId="4" fillId="0" borderId="20" xfId="0" applyFont="1" applyFill="1" applyBorder="1" applyAlignment="1">
      <alignment wrapText="1"/>
    </xf>
    <xf numFmtId="1" fontId="12" fillId="12" borderId="21" xfId="0" applyNumberFormat="1" applyFont="1" applyFill="1" applyBorder="1" applyAlignment="1">
      <alignment horizontal="center"/>
    </xf>
    <xf numFmtId="0" fontId="4" fillId="9" borderId="20" xfId="0" applyFont="1" applyFill="1" applyBorder="1" applyAlignment="1">
      <alignment horizontal="center"/>
    </xf>
    <xf numFmtId="0" fontId="4" fillId="9" borderId="22" xfId="0" applyFont="1" applyFill="1" applyBorder="1" applyAlignment="1">
      <alignment horizontal="center"/>
    </xf>
    <xf numFmtId="0" fontId="2" fillId="0" borderId="24" xfId="0" applyFont="1" applyFill="1" applyBorder="1" applyAlignment="1">
      <alignment vertical="center" wrapText="1"/>
    </xf>
    <xf numFmtId="0" fontId="2" fillId="8" borderId="7" xfId="0" applyFont="1" applyFill="1" applyBorder="1" applyAlignment="1">
      <alignment horizontal="center" vertical="center"/>
    </xf>
    <xf numFmtId="0" fontId="2" fillId="0" borderId="13" xfId="0" applyFont="1" applyFill="1" applyBorder="1" applyAlignment="1">
      <alignment horizontal="right" vertical="center"/>
    </xf>
    <xf numFmtId="0" fontId="2" fillId="0" borderId="1" xfId="0" applyFont="1" applyFill="1" applyBorder="1" applyAlignment="1">
      <alignment horizontal="center" vertical="center"/>
    </xf>
    <xf numFmtId="0" fontId="4" fillId="0" borderId="14" xfId="0" applyFont="1" applyFill="1" applyBorder="1" applyAlignment="1">
      <alignment vertical="center" wrapText="1"/>
    </xf>
    <xf numFmtId="0" fontId="2" fillId="2" borderId="18" xfId="0" applyFont="1" applyFill="1" applyBorder="1" applyAlignment="1">
      <alignment horizontal="center" vertical="center"/>
    </xf>
    <xf numFmtId="0" fontId="2" fillId="0" borderId="40" xfId="0" applyFont="1" applyFill="1" applyBorder="1" applyAlignment="1">
      <alignment horizontal="right" vertical="center"/>
    </xf>
    <xf numFmtId="0" fontId="2" fillId="0" borderId="41" xfId="0" applyFont="1" applyFill="1" applyBorder="1" applyAlignment="1">
      <alignment horizontal="center" vertical="center"/>
    </xf>
    <xf numFmtId="0" fontId="4" fillId="0" borderId="42" xfId="0" applyFont="1" applyFill="1" applyBorder="1" applyAlignment="1">
      <alignment vertical="center" wrapText="1"/>
    </xf>
    <xf numFmtId="0" fontId="13" fillId="0" borderId="0" xfId="0" applyFont="1" applyFill="1" applyAlignment="1">
      <alignment horizontal="fill" wrapText="1"/>
    </xf>
    <xf numFmtId="0" fontId="2" fillId="0" borderId="16" xfId="0" applyFont="1" applyFill="1" applyBorder="1" applyAlignment="1">
      <alignment horizontal="right" vertical="center"/>
    </xf>
    <xf numFmtId="0" fontId="2" fillId="0" borderId="9" xfId="0" applyFont="1" applyFill="1" applyBorder="1" applyAlignment="1">
      <alignment horizontal="center" vertical="center"/>
    </xf>
    <xf numFmtId="0" fontId="4" fillId="0" borderId="9" xfId="0" applyFont="1" applyFill="1" applyBorder="1" applyAlignment="1">
      <alignment vertical="center" wrapText="1"/>
    </xf>
    <xf numFmtId="0" fontId="4" fillId="5" borderId="18" xfId="0" applyFont="1" applyFill="1" applyBorder="1" applyAlignment="1">
      <alignment horizontal="center" vertical="center" wrapText="1"/>
    </xf>
    <xf numFmtId="0" fontId="4" fillId="0" borderId="1" xfId="0" applyFont="1" applyFill="1" applyBorder="1" applyAlignment="1">
      <alignment vertical="center" wrapText="1"/>
    </xf>
    <xf numFmtId="0" fontId="2" fillId="0" borderId="26" xfId="0" applyFont="1" applyFill="1" applyBorder="1" applyAlignment="1">
      <alignment horizontal="right" vertical="center"/>
    </xf>
    <xf numFmtId="0" fontId="2" fillId="0" borderId="43" xfId="0" applyFont="1" applyFill="1" applyBorder="1" applyAlignment="1">
      <alignment horizontal="center" vertical="center"/>
    </xf>
    <xf numFmtId="0" fontId="4" fillId="0" borderId="43" xfId="0" applyFont="1" applyFill="1" applyBorder="1" applyAlignment="1">
      <alignment vertical="center" wrapText="1"/>
    </xf>
    <xf numFmtId="0" fontId="2" fillId="2" borderId="22" xfId="0" applyFont="1" applyFill="1" applyBorder="1" applyAlignment="1">
      <alignment horizontal="center" vertical="center"/>
    </xf>
    <xf numFmtId="0" fontId="4" fillId="0" borderId="0" xfId="0" applyFont="1" applyFill="1" applyAlignment="1">
      <alignment horizontal="right" vertical="center"/>
    </xf>
    <xf numFmtId="0" fontId="4" fillId="0" borderId="0" xfId="0" applyFont="1" applyFill="1" applyAlignment="1">
      <alignment horizontal="center" vertical="center"/>
    </xf>
    <xf numFmtId="0" fontId="4" fillId="0" borderId="0" xfId="0" applyFont="1" applyFill="1" applyAlignment="1">
      <alignment vertical="center" wrapText="1"/>
    </xf>
    <xf numFmtId="0" fontId="9" fillId="0" borderId="23" xfId="0" applyFont="1" applyFill="1" applyBorder="1" applyAlignment="1">
      <alignment horizontal="left" vertical="top" wrapText="1"/>
    </xf>
    <xf numFmtId="0" fontId="4" fillId="0" borderId="24" xfId="0" applyFont="1" applyFill="1" applyBorder="1" applyAlignment="1">
      <alignment horizontal="center" wrapText="1"/>
    </xf>
    <xf numFmtId="0" fontId="4" fillId="0" borderId="24" xfId="0" applyFont="1" applyFill="1" applyBorder="1" applyAlignment="1">
      <alignment wrapText="1"/>
    </xf>
    <xf numFmtId="0" fontId="14" fillId="13" borderId="25" xfId="0" applyFont="1" applyFill="1" applyBorder="1" applyAlignment="1">
      <alignment horizontal="center" vertical="center" wrapText="1"/>
    </xf>
    <xf numFmtId="0" fontId="9" fillId="0" borderId="40" xfId="0" applyFont="1" applyFill="1" applyBorder="1" applyAlignment="1">
      <alignment horizontal="left" vertical="top" wrapText="1"/>
    </xf>
    <xf numFmtId="0" fontId="4" fillId="0" borderId="11" xfId="0" applyFont="1" applyFill="1" applyBorder="1" applyAlignment="1">
      <alignment horizontal="center" wrapText="1"/>
    </xf>
    <xf numFmtId="0" fontId="4" fillId="0" borderId="11" xfId="0" applyFont="1" applyFill="1" applyBorder="1" applyAlignment="1">
      <alignment wrapText="1"/>
    </xf>
    <xf numFmtId="0" fontId="14" fillId="8" borderId="11" xfId="0" applyFont="1" applyFill="1" applyBorder="1" applyAlignment="1">
      <alignment horizontal="center" vertical="center" wrapText="1"/>
    </xf>
    <xf numFmtId="0" fontId="4" fillId="0" borderId="24" xfId="0" applyFont="1" applyFill="1" applyBorder="1" applyAlignment="1">
      <alignment horizontal="center" vertical="center" wrapText="1"/>
    </xf>
    <xf numFmtId="0" fontId="4" fillId="0" borderId="25" xfId="0" applyFont="1" applyFill="1" applyBorder="1" applyAlignment="1">
      <alignment horizontal="center" vertical="center"/>
    </xf>
    <xf numFmtId="0" fontId="4" fillId="0" borderId="11" xfId="0" applyFont="1" applyFill="1" applyBorder="1" applyAlignment="1">
      <alignment horizontal="right" wrapText="1"/>
    </xf>
    <xf numFmtId="0" fontId="4" fillId="0" borderId="41" xfId="0" applyFont="1" applyFill="1" applyBorder="1" applyAlignment="1">
      <alignment horizontal="center" vertical="center" wrapText="1"/>
    </xf>
    <xf numFmtId="0" fontId="4" fillId="0" borderId="37" xfId="0" applyFont="1" applyFill="1" applyBorder="1" applyAlignment="1">
      <alignment horizontal="center" vertical="center"/>
    </xf>
    <xf numFmtId="0" fontId="4" fillId="0" borderId="13" xfId="0" applyFont="1" applyFill="1" applyBorder="1" applyAlignment="1">
      <alignment horizontal="right" wrapText="1"/>
    </xf>
    <xf numFmtId="0" fontId="4" fillId="0" borderId="1" xfId="0" applyFont="1" applyFill="1" applyBorder="1" applyAlignment="1">
      <alignment horizontal="center" wrapText="1"/>
    </xf>
    <xf numFmtId="0" fontId="14" fillId="8" borderId="14" xfId="0" applyFont="1" applyFill="1" applyBorder="1" applyAlignment="1">
      <alignment horizontal="center"/>
    </xf>
    <xf numFmtId="0" fontId="4" fillId="5" borderId="1" xfId="0" applyFont="1" applyFill="1" applyBorder="1" applyAlignment="1">
      <alignment horizontal="center"/>
    </xf>
    <xf numFmtId="0" fontId="4" fillId="5" borderId="14" xfId="0" applyFont="1" applyFill="1" applyBorder="1" applyAlignment="1">
      <alignment horizontal="center"/>
    </xf>
    <xf numFmtId="0" fontId="2" fillId="2" borderId="1" xfId="0" applyFont="1" applyFill="1" applyBorder="1" applyAlignment="1">
      <alignment horizontal="center"/>
    </xf>
    <xf numFmtId="0" fontId="2" fillId="2" borderId="18" xfId="0" applyFont="1" applyFill="1" applyBorder="1" applyAlignment="1">
      <alignment horizontal="center"/>
    </xf>
    <xf numFmtId="0" fontId="4" fillId="0" borderId="19" xfId="0" applyFont="1" applyFill="1" applyBorder="1" applyAlignment="1">
      <alignment horizontal="right" wrapText="1"/>
    </xf>
    <xf numFmtId="0" fontId="4" fillId="0" borderId="20" xfId="0" applyFont="1" applyFill="1" applyBorder="1" applyAlignment="1">
      <alignment horizontal="center" wrapText="1"/>
    </xf>
    <xf numFmtId="0" fontId="14" fillId="8" borderId="21" xfId="0" applyFont="1" applyFill="1" applyBorder="1" applyAlignment="1">
      <alignment horizontal="center"/>
    </xf>
    <xf numFmtId="1" fontId="4" fillId="2" borderId="20" xfId="0" applyNumberFormat="1" applyFont="1" applyFill="1" applyBorder="1" applyAlignment="1">
      <alignment horizontal="center"/>
    </xf>
    <xf numFmtId="1" fontId="4" fillId="5" borderId="20" xfId="0" applyNumberFormat="1" applyFont="1" applyFill="1" applyBorder="1" applyAlignment="1">
      <alignment horizontal="center"/>
    </xf>
    <xf numFmtId="1" fontId="2" fillId="2" borderId="20" xfId="0" applyNumberFormat="1" applyFont="1" applyFill="1" applyBorder="1" applyAlignment="1">
      <alignment horizontal="center"/>
    </xf>
    <xf numFmtId="1" fontId="2" fillId="2" borderId="22" xfId="0" applyNumberFormat="1" applyFont="1" applyFill="1" applyBorder="1" applyAlignment="1">
      <alignment horizontal="center"/>
    </xf>
    <xf numFmtId="0" fontId="4" fillId="0" borderId="0" xfId="0" applyFont="1" applyFill="1" applyAlignment="1">
      <alignment wrapText="1"/>
    </xf>
    <xf numFmtId="0" fontId="9" fillId="0" borderId="23" xfId="0" applyFont="1" applyFill="1" applyBorder="1" applyAlignment="1">
      <alignment wrapText="1"/>
    </xf>
    <xf numFmtId="0" fontId="2" fillId="5" borderId="18" xfId="0" applyFont="1" applyFill="1" applyBorder="1" applyAlignment="1">
      <alignment horizontal="center" vertical="center"/>
    </xf>
    <xf numFmtId="0" fontId="4" fillId="0" borderId="16" xfId="0" applyFont="1" applyFill="1" applyBorder="1" applyAlignment="1">
      <alignment horizontal="right"/>
    </xf>
    <xf numFmtId="0" fontId="4" fillId="0" borderId="9" xfId="0" applyFont="1" applyFill="1" applyBorder="1" applyAlignment="1">
      <alignment horizontal="center" wrapText="1"/>
    </xf>
    <xf numFmtId="0" fontId="4" fillId="5" borderId="18" xfId="0" applyFont="1" applyFill="1" applyBorder="1" applyAlignment="1">
      <alignment horizontal="center" vertical="center"/>
    </xf>
    <xf numFmtId="1" fontId="4" fillId="5" borderId="22" xfId="0" applyNumberFormat="1" applyFont="1" applyFill="1" applyBorder="1" applyAlignment="1">
      <alignment horizontal="center" vertical="center"/>
    </xf>
    <xf numFmtId="0" fontId="4" fillId="0" borderId="0" xfId="0" applyFont="1" applyFill="1" applyAlignment="1">
      <alignment horizontal="right" wrapText="1"/>
    </xf>
    <xf numFmtId="0" fontId="2" fillId="0" borderId="44" xfId="0" applyFont="1" applyFill="1" applyBorder="1" applyAlignment="1">
      <alignment horizontal="center"/>
    </xf>
    <xf numFmtId="0" fontId="2" fillId="0" borderId="1" xfId="0" applyFont="1" applyFill="1" applyBorder="1" applyAlignment="1">
      <alignment horizontal="center" wrapText="1"/>
    </xf>
    <xf numFmtId="0" fontId="4" fillId="5" borderId="22" xfId="0" applyFont="1" applyFill="1" applyBorder="1" applyAlignment="1">
      <alignment horizontal="center" vertical="center" wrapText="1"/>
    </xf>
    <xf numFmtId="0" fontId="4" fillId="0" borderId="6" xfId="0" applyFont="1" applyFill="1" applyBorder="1" applyAlignment="1">
      <alignment wrapText="1"/>
    </xf>
    <xf numFmtId="0" fontId="4" fillId="0" borderId="10" xfId="0" applyFont="1" applyFill="1" applyBorder="1" applyAlignment="1">
      <alignment horizontal="right" wrapText="1"/>
    </xf>
    <xf numFmtId="0" fontId="2" fillId="5" borderId="18" xfId="0" applyFont="1" applyFill="1" applyBorder="1" applyAlignment="1">
      <alignment horizontal="center"/>
    </xf>
    <xf numFmtId="0" fontId="2" fillId="8" borderId="25" xfId="0" applyFont="1" applyFill="1" applyBorder="1" applyAlignment="1">
      <alignment horizontal="center"/>
    </xf>
    <xf numFmtId="0" fontId="4" fillId="0" borderId="28" xfId="0" applyFont="1" applyFill="1" applyBorder="1" applyAlignment="1">
      <alignment horizontal="right" wrapText="1"/>
    </xf>
    <xf numFmtId="0" fontId="4" fillId="0" borderId="28" xfId="0" applyFont="1" applyFill="1" applyBorder="1" applyAlignment="1">
      <alignment horizontal="center" wrapText="1"/>
    </xf>
    <xf numFmtId="0" fontId="4" fillId="0" borderId="28" xfId="0" applyFont="1" applyFill="1" applyBorder="1" applyAlignment="1">
      <alignment wrapText="1"/>
    </xf>
    <xf numFmtId="0" fontId="15" fillId="0" borderId="0" xfId="0" applyFont="1" applyFill="1" applyAlignment="1">
      <alignment horizontal="center"/>
    </xf>
    <xf numFmtId="0" fontId="2" fillId="8" borderId="25" xfId="0" applyFont="1" applyFill="1" applyBorder="1" applyAlignment="1"/>
    <xf numFmtId="0" fontId="2" fillId="8" borderId="18" xfId="0" applyFont="1" applyFill="1" applyBorder="1" applyAlignment="1"/>
    <xf numFmtId="0" fontId="14" fillId="8" borderId="1" xfId="0" applyFont="1" applyFill="1" applyBorder="1" applyAlignment="1">
      <alignment horizontal="center" vertical="center" wrapText="1"/>
    </xf>
    <xf numFmtId="0" fontId="4" fillId="5" borderId="20" xfId="0" applyFont="1" applyFill="1" applyBorder="1" applyAlignment="1">
      <alignment horizontal="center"/>
    </xf>
    <xf numFmtId="0" fontId="4" fillId="2" borderId="20" xfId="0" applyFont="1" applyFill="1" applyBorder="1" applyAlignment="1">
      <alignment horizontal="center"/>
    </xf>
    <xf numFmtId="0" fontId="4" fillId="5" borderId="45" xfId="0" applyFont="1" applyFill="1" applyBorder="1" applyAlignment="1">
      <alignment horizontal="center"/>
    </xf>
    <xf numFmtId="0" fontId="4" fillId="5" borderId="21" xfId="0" applyFont="1" applyFill="1" applyBorder="1" applyAlignment="1">
      <alignment horizontal="center"/>
    </xf>
    <xf numFmtId="0" fontId="2" fillId="2" borderId="22" xfId="0" applyFont="1" applyFill="1" applyBorder="1" applyAlignment="1">
      <alignment horizontal="center"/>
    </xf>
    <xf numFmtId="0" fontId="14" fillId="8" borderId="39" xfId="0" applyFont="1" applyFill="1" applyBorder="1" applyAlignment="1">
      <alignment horizontal="center"/>
    </xf>
    <xf numFmtId="0" fontId="14" fillId="0" borderId="0" xfId="0" applyFont="1" applyFill="1" applyAlignment="1">
      <alignment horizontal="center"/>
    </xf>
    <xf numFmtId="0" fontId="14" fillId="0" borderId="0" xfId="0" applyFont="1" applyFill="1" applyAlignment="1"/>
    <xf numFmtId="0" fontId="4" fillId="5" borderId="18" xfId="0" applyFont="1" applyFill="1" applyBorder="1" applyAlignment="1">
      <alignment horizontal="center"/>
    </xf>
    <xf numFmtId="0" fontId="14" fillId="8" borderId="41" xfId="0" applyFont="1" applyFill="1" applyBorder="1" applyAlignment="1">
      <alignment horizontal="center"/>
    </xf>
    <xf numFmtId="0" fontId="14" fillId="8" borderId="37" xfId="0" applyFont="1" applyFill="1" applyBorder="1" applyAlignment="1">
      <alignment horizontal="center"/>
    </xf>
    <xf numFmtId="0" fontId="4" fillId="0" borderId="10" xfId="0" applyFont="1" applyFill="1" applyBorder="1" applyAlignment="1">
      <alignment horizontal="right"/>
    </xf>
    <xf numFmtId="0" fontId="4" fillId="0" borderId="11" xfId="0" applyFont="1" applyFill="1" applyBorder="1" applyAlignment="1">
      <alignment horizontal="center"/>
    </xf>
    <xf numFmtId="0" fontId="4" fillId="0" borderId="19" xfId="0" applyFont="1" applyFill="1" applyBorder="1" applyAlignment="1">
      <alignment horizontal="right"/>
    </xf>
    <xf numFmtId="0" fontId="4" fillId="0" borderId="21" xfId="0" applyFont="1" applyFill="1" applyBorder="1" applyAlignment="1"/>
    <xf numFmtId="0" fontId="4" fillId="2" borderId="22" xfId="0" applyFont="1" applyFill="1" applyBorder="1" applyAlignment="1">
      <alignment horizontal="center"/>
    </xf>
    <xf numFmtId="0" fontId="9" fillId="0" borderId="46" xfId="0" applyFont="1" applyFill="1" applyBorder="1" applyAlignment="1"/>
    <xf numFmtId="1" fontId="1" fillId="2" borderId="7" xfId="0" applyNumberFormat="1" applyFont="1" applyFill="1" applyBorder="1" applyAlignment="1">
      <alignment horizontal="center"/>
    </xf>
    <xf numFmtId="0" fontId="2" fillId="0" borderId="47" xfId="0" applyFont="1" applyFill="1" applyBorder="1" applyAlignment="1"/>
    <xf numFmtId="0" fontId="9" fillId="0" borderId="1" xfId="0" applyFont="1" applyFill="1" applyBorder="1" applyAlignment="1">
      <alignment horizontal="center"/>
    </xf>
    <xf numFmtId="0" fontId="4" fillId="8" borderId="11" xfId="0" applyFont="1" applyFill="1" applyBorder="1" applyAlignment="1">
      <alignment horizontal="center"/>
    </xf>
    <xf numFmtId="0" fontId="1" fillId="6" borderId="24" xfId="0" applyFont="1" applyFill="1" applyBorder="1" applyAlignment="1">
      <alignment horizontal="center" vertical="center"/>
    </xf>
    <xf numFmtId="0" fontId="1" fillId="6" borderId="25" xfId="0" applyFont="1" applyFill="1" applyBorder="1" applyAlignment="1">
      <alignment horizontal="center" vertical="center"/>
    </xf>
    <xf numFmtId="0" fontId="4" fillId="0" borderId="48" xfId="0" applyFont="1" applyFill="1" applyBorder="1" applyAlignment="1">
      <alignment horizontal="center"/>
    </xf>
    <xf numFmtId="0" fontId="4" fillId="6" borderId="1" xfId="0" applyFont="1" applyFill="1" applyBorder="1" applyAlignment="1">
      <alignment horizontal="center"/>
    </xf>
    <xf numFmtId="0" fontId="4" fillId="0" borderId="18" xfId="0" applyFont="1" applyFill="1" applyBorder="1" applyAlignment="1">
      <alignment horizontal="center"/>
    </xf>
    <xf numFmtId="0" fontId="4" fillId="8" borderId="1" xfId="0" applyFont="1" applyFill="1" applyBorder="1" applyAlignment="1">
      <alignment horizontal="center"/>
    </xf>
    <xf numFmtId="0" fontId="2" fillId="6" borderId="1" xfId="0" applyFont="1" applyFill="1" applyBorder="1" applyAlignment="1">
      <alignment horizontal="center"/>
    </xf>
    <xf numFmtId="0" fontId="2" fillId="6" borderId="18" xfId="0" applyFont="1" applyFill="1" applyBorder="1" applyAlignment="1">
      <alignment horizontal="center"/>
    </xf>
    <xf numFmtId="0" fontId="4" fillId="0" borderId="9" xfId="0" applyFont="1" applyFill="1" applyBorder="1" applyAlignment="1"/>
    <xf numFmtId="49" fontId="4" fillId="6" borderId="1" xfId="0" applyNumberFormat="1" applyFont="1" applyFill="1" applyBorder="1" applyAlignment="1">
      <alignment horizontal="center"/>
    </xf>
    <xf numFmtId="49" fontId="4" fillId="6" borderId="18" xfId="0" applyNumberFormat="1" applyFont="1" applyFill="1" applyBorder="1" applyAlignment="1">
      <alignment horizontal="center"/>
    </xf>
    <xf numFmtId="0" fontId="4" fillId="0" borderId="49" xfId="0" applyFont="1" applyFill="1" applyBorder="1" applyAlignment="1">
      <alignment horizontal="center"/>
    </xf>
    <xf numFmtId="0" fontId="4" fillId="8" borderId="14" xfId="0" applyFont="1" applyFill="1" applyBorder="1" applyAlignment="1">
      <alignment horizontal="center"/>
    </xf>
    <xf numFmtId="0" fontId="4" fillId="0" borderId="9" xfId="0" applyFont="1" applyFill="1" applyBorder="1" applyAlignment="1">
      <alignment horizontal="center"/>
    </xf>
    <xf numFmtId="0" fontId="4" fillId="0" borderId="0" xfId="0" applyFont="1" applyFill="1" applyAlignment="1">
      <alignment horizontal="fill" wrapText="1"/>
    </xf>
    <xf numFmtId="2" fontId="4" fillId="6" borderId="1" xfId="0" applyNumberFormat="1" applyFont="1" applyFill="1" applyBorder="1" applyAlignment="1">
      <alignment horizontal="center"/>
    </xf>
    <xf numFmtId="2" fontId="4" fillId="6" borderId="18" xfId="0" applyNumberFormat="1" applyFont="1" applyFill="1" applyBorder="1" applyAlignment="1">
      <alignment horizontal="center"/>
    </xf>
    <xf numFmtId="0" fontId="4" fillId="0" borderId="50" xfId="0" applyFont="1" applyFill="1" applyBorder="1" applyAlignment="1">
      <alignment horizontal="right"/>
    </xf>
    <xf numFmtId="0" fontId="4" fillId="8" borderId="9" xfId="0" applyFont="1" applyFill="1" applyBorder="1" applyAlignment="1">
      <alignment horizontal="center"/>
    </xf>
    <xf numFmtId="0" fontId="4" fillId="0" borderId="51" xfId="0" applyFont="1" applyFill="1" applyBorder="1" applyAlignment="1">
      <alignment horizontal="right"/>
    </xf>
    <xf numFmtId="0" fontId="4" fillId="8" borderId="20" xfId="0" applyFont="1" applyFill="1" applyBorder="1" applyAlignment="1">
      <alignment horizontal="center"/>
    </xf>
    <xf numFmtId="0" fontId="2" fillId="6" borderId="20" xfId="0" applyFont="1" applyFill="1" applyBorder="1" applyAlignment="1">
      <alignment horizontal="center"/>
    </xf>
    <xf numFmtId="0" fontId="2" fillId="6" borderId="22" xfId="0" applyFont="1" applyFill="1" applyBorder="1" applyAlignment="1">
      <alignment horizontal="center"/>
    </xf>
    <xf numFmtId="0" fontId="9" fillId="0" borderId="52" xfId="0" applyFont="1" applyFill="1" applyBorder="1" applyAlignment="1">
      <alignment horizontal="left"/>
    </xf>
    <xf numFmtId="0" fontId="4" fillId="0" borderId="53" xfId="0" applyFont="1" applyFill="1" applyBorder="1" applyAlignment="1">
      <alignment horizontal="center"/>
    </xf>
    <xf numFmtId="0" fontId="4" fillId="0" borderId="54" xfId="0" applyFont="1" applyFill="1" applyBorder="1" applyAlignment="1"/>
    <xf numFmtId="0" fontId="4" fillId="8" borderId="55" xfId="0" applyFont="1" applyFill="1" applyBorder="1" applyAlignment="1">
      <alignment horizontal="center"/>
    </xf>
    <xf numFmtId="0" fontId="9" fillId="0" borderId="56" xfId="0" applyFont="1" applyFill="1" applyBorder="1" applyAlignment="1">
      <alignment vertical="center"/>
    </xf>
    <xf numFmtId="0" fontId="9" fillId="0" borderId="57" xfId="0" applyFont="1" applyFill="1" applyBorder="1" applyAlignment="1">
      <alignment horizontal="center" vertical="center"/>
    </xf>
    <xf numFmtId="0" fontId="2" fillId="0" borderId="58" xfId="0" applyFont="1" applyFill="1" applyBorder="1" applyAlignment="1"/>
    <xf numFmtId="0" fontId="2" fillId="8" borderId="59" xfId="0" applyFont="1" applyFill="1" applyBorder="1" applyAlignment="1"/>
    <xf numFmtId="0" fontId="2" fillId="0" borderId="13" xfId="0" applyFont="1" applyFill="1" applyBorder="1" applyAlignment="1">
      <alignment vertical="center"/>
    </xf>
    <xf numFmtId="0" fontId="2" fillId="0" borderId="48" xfId="0" applyFont="1" applyFill="1" applyBorder="1" applyAlignment="1">
      <alignment horizontal="center" vertical="center"/>
    </xf>
    <xf numFmtId="0" fontId="9" fillId="0" borderId="48" xfId="0" applyFont="1" applyFill="1" applyBorder="1" applyAlignment="1">
      <alignment horizontal="left" vertical="center"/>
    </xf>
    <xf numFmtId="0" fontId="2" fillId="8" borderId="1" xfId="0" applyFont="1" applyFill="1" applyBorder="1" applyAlignment="1"/>
    <xf numFmtId="0" fontId="2" fillId="10" borderId="24" xfId="0" applyFont="1" applyFill="1" applyBorder="1" applyAlignment="1">
      <alignment horizontal="center"/>
    </xf>
    <xf numFmtId="0" fontId="2" fillId="10" borderId="25" xfId="0" applyFont="1" applyFill="1" applyBorder="1" applyAlignment="1">
      <alignment horizontal="center"/>
    </xf>
    <xf numFmtId="1" fontId="4" fillId="2" borderId="1" xfId="0" applyNumberFormat="1" applyFont="1" applyFill="1" applyBorder="1" applyAlignment="1">
      <alignment horizontal="center"/>
    </xf>
    <xf numFmtId="1" fontId="4" fillId="2" borderId="18" xfId="0" applyNumberFormat="1" applyFont="1" applyFill="1" applyBorder="1" applyAlignment="1">
      <alignment horizontal="center"/>
    </xf>
    <xf numFmtId="0" fontId="2" fillId="0" borderId="1" xfId="0"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8" xfId="0" applyNumberFormat="1" applyFont="1" applyFill="1" applyBorder="1" applyAlignment="1">
      <alignment horizontal="center" vertical="center" wrapText="1"/>
    </xf>
    <xf numFmtId="0" fontId="4" fillId="0" borderId="16" xfId="0" applyFont="1" applyFill="1" applyBorder="1" applyAlignment="1">
      <alignment horizontal="right" vertical="center"/>
    </xf>
    <xf numFmtId="0" fontId="2" fillId="0" borderId="9" xfId="0" applyFont="1" applyFill="1" applyBorder="1" applyAlignment="1">
      <alignment horizontal="center" vertical="center" wrapText="1"/>
    </xf>
    <xf numFmtId="0" fontId="4" fillId="0" borderId="9" xfId="0" applyFont="1" applyFill="1" applyBorder="1" applyAlignment="1">
      <alignment wrapText="1"/>
    </xf>
    <xf numFmtId="0" fontId="2" fillId="8" borderId="9" xfId="0" applyFont="1" applyFill="1" applyBorder="1" applyAlignment="1"/>
    <xf numFmtId="1" fontId="4" fillId="2" borderId="20" xfId="0" applyNumberFormat="1" applyFont="1" applyFill="1" applyBorder="1" applyAlignment="1">
      <alignment horizontal="center" vertical="center" wrapText="1"/>
    </xf>
    <xf numFmtId="1" fontId="4" fillId="2" borderId="22" xfId="0" applyNumberFormat="1" applyFont="1" applyFill="1" applyBorder="1" applyAlignment="1">
      <alignment horizontal="center" vertical="center" wrapText="1"/>
    </xf>
    <xf numFmtId="0" fontId="2" fillId="0" borderId="60" xfId="0" applyFont="1" applyFill="1" applyBorder="1" applyAlignment="1"/>
    <xf numFmtId="0" fontId="2" fillId="0" borderId="20" xfId="0" applyFont="1" applyFill="1" applyBorder="1" applyAlignment="1">
      <alignment horizontal="center" vertical="center" wrapText="1"/>
    </xf>
    <xf numFmtId="0" fontId="2" fillId="8" borderId="20" xfId="0" applyFont="1" applyFill="1" applyBorder="1" applyAlignment="1"/>
    <xf numFmtId="0" fontId="4" fillId="6" borderId="25" xfId="0" applyFont="1" applyFill="1" applyBorder="1" applyAlignment="1">
      <alignment horizontal="center"/>
    </xf>
    <xf numFmtId="0" fontId="4" fillId="0" borderId="19" xfId="0" applyFont="1" applyFill="1" applyBorder="1" applyAlignment="1"/>
    <xf numFmtId="0" fontId="4" fillId="6" borderId="3" xfId="0" applyFont="1" applyFill="1" applyBorder="1" applyAlignment="1">
      <alignment horizontal="center"/>
    </xf>
    <xf numFmtId="0" fontId="4" fillId="6" borderId="4" xfId="0" applyFont="1" applyFill="1" applyBorder="1" applyAlignment="1">
      <alignment horizontal="center"/>
    </xf>
    <xf numFmtId="0" fontId="4" fillId="8" borderId="25" xfId="0" applyFont="1" applyFill="1" applyBorder="1" applyAlignment="1">
      <alignment horizontal="center"/>
    </xf>
    <xf numFmtId="2" fontId="4" fillId="6" borderId="18" xfId="0" applyNumberFormat="1" applyFont="1" applyFill="1" applyBorder="1" applyAlignment="1">
      <alignment horizontal="center" vertical="center"/>
    </xf>
    <xf numFmtId="0" fontId="4" fillId="0" borderId="16" xfId="0" applyFont="1" applyFill="1" applyBorder="1" applyAlignment="1"/>
    <xf numFmtId="1" fontId="4" fillId="2" borderId="22"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0" fontId="2" fillId="13" borderId="25" xfId="0" applyFont="1" applyFill="1" applyBorder="1" applyAlignment="1">
      <alignment horizontal="center"/>
    </xf>
    <xf numFmtId="1" fontId="2" fillId="5" borderId="18" xfId="0" applyNumberFormat="1" applyFont="1" applyFill="1" applyBorder="1" applyAlignment="1">
      <alignment horizontal="center"/>
    </xf>
    <xf numFmtId="0" fontId="2" fillId="13" borderId="1" xfId="0" applyFont="1" applyFill="1" applyBorder="1" applyAlignment="1">
      <alignment horizontal="center"/>
    </xf>
    <xf numFmtId="0" fontId="2" fillId="5" borderId="25" xfId="0" applyFont="1" applyFill="1" applyBorder="1" applyAlignment="1">
      <alignment horizontal="center"/>
    </xf>
    <xf numFmtId="0" fontId="2" fillId="13" borderId="20" xfId="0" applyFont="1" applyFill="1" applyBorder="1" applyAlignment="1">
      <alignment horizontal="center"/>
    </xf>
    <xf numFmtId="1" fontId="2" fillId="5" borderId="22" xfId="0" applyNumberFormat="1" applyFont="1" applyFill="1" applyBorder="1" applyAlignment="1">
      <alignment horizontal="center"/>
    </xf>
    <xf numFmtId="0" fontId="9" fillId="0" borderId="24" xfId="0" applyFont="1" applyFill="1" applyBorder="1" applyAlignment="1">
      <alignment horizontal="center"/>
    </xf>
    <xf numFmtId="0" fontId="4" fillId="3" borderId="18" xfId="0" applyFont="1" applyFill="1" applyBorder="1" applyAlignment="1">
      <alignment horizontal="center" vertical="center"/>
    </xf>
    <xf numFmtId="0" fontId="4" fillId="3" borderId="22" xfId="0" applyFont="1" applyFill="1" applyBorder="1" applyAlignment="1">
      <alignment horizontal="center" vertical="center"/>
    </xf>
    <xf numFmtId="0" fontId="1" fillId="0" borderId="0" xfId="0" applyFont="1" applyFill="1" applyAlignment="1" applyProtection="1">
      <alignment horizontal="fill" wrapText="1"/>
      <protection hidden="1"/>
    </xf>
    <xf numFmtId="2" fontId="4" fillId="5" borderId="18" xfId="0" applyNumberFormat="1" applyFont="1" applyFill="1" applyBorder="1" applyAlignment="1">
      <alignment horizontal="center" vertical="center"/>
    </xf>
    <xf numFmtId="2" fontId="4" fillId="6" borderId="22" xfId="0" applyNumberFormat="1" applyFont="1" applyFill="1" applyBorder="1" applyAlignment="1">
      <alignment horizontal="center" vertical="center"/>
    </xf>
    <xf numFmtId="0" fontId="2" fillId="8" borderId="7" xfId="0" applyFont="1" applyFill="1" applyBorder="1" applyAlignment="1"/>
    <xf numFmtId="0" fontId="4" fillId="0" borderId="0" xfId="0" applyFont="1" applyFill="1" applyAlignment="1">
      <alignment horizontal="left"/>
    </xf>
    <xf numFmtId="0" fontId="2" fillId="0" borderId="13" xfId="0" applyFont="1" applyFill="1" applyBorder="1" applyAlignment="1">
      <alignment horizontal="right"/>
    </xf>
    <xf numFmtId="0" fontId="16" fillId="0" borderId="0" xfId="0" applyFont="1" applyFill="1" applyAlignment="1">
      <alignment horizontal="left"/>
    </xf>
    <xf numFmtId="0" fontId="2" fillId="0" borderId="19" xfId="0" applyFont="1" applyFill="1" applyBorder="1" applyAlignment="1">
      <alignment horizontal="right"/>
    </xf>
    <xf numFmtId="0" fontId="16" fillId="0" borderId="0" xfId="0" applyFont="1" applyFill="1" applyAlignment="1">
      <alignment horizontal="center"/>
    </xf>
    <xf numFmtId="0" fontId="2" fillId="0" borderId="24" xfId="0" applyFont="1" applyFill="1" applyBorder="1" applyAlignment="1"/>
    <xf numFmtId="0" fontId="2" fillId="12" borderId="7" xfId="0" applyFont="1" applyFill="1" applyBorder="1" applyAlignment="1">
      <alignment horizontal="center"/>
    </xf>
    <xf numFmtId="0" fontId="2" fillId="0" borderId="14" xfId="0" applyFont="1" applyFill="1" applyBorder="1" applyAlignment="1"/>
    <xf numFmtId="0" fontId="2" fillId="0" borderId="17" xfId="0" applyFont="1" applyFill="1" applyBorder="1" applyAlignment="1"/>
    <xf numFmtId="0" fontId="2" fillId="5" borderId="22" xfId="0" applyFont="1" applyFill="1" applyBorder="1" applyAlignment="1">
      <alignment horizontal="center"/>
    </xf>
    <xf numFmtId="0" fontId="9" fillId="0" borderId="23" xfId="0" applyFont="1" applyFill="1" applyBorder="1" applyAlignment="1">
      <alignment horizontal="left" wrapText="1"/>
    </xf>
    <xf numFmtId="0" fontId="4" fillId="8" borderId="7" xfId="0" applyFont="1" applyFill="1" applyBorder="1" applyAlignment="1">
      <alignment horizontal="center"/>
    </xf>
    <xf numFmtId="1" fontId="4" fillId="6" borderId="22" xfId="0" applyNumberFormat="1" applyFont="1" applyFill="1" applyBorder="1" applyAlignment="1">
      <alignment horizontal="center"/>
    </xf>
    <xf numFmtId="1" fontId="4" fillId="6" borderId="18" xfId="0" applyNumberFormat="1" applyFont="1" applyFill="1" applyBorder="1" applyAlignment="1">
      <alignment horizontal="center" vertical="center"/>
    </xf>
    <xf numFmtId="0" fontId="4" fillId="0" borderId="16" xfId="0" applyFont="1" applyFill="1" applyBorder="1" applyAlignment="1">
      <alignment horizontal="right" wrapText="1"/>
    </xf>
    <xf numFmtId="0" fontId="2" fillId="0" borderId="38" xfId="0" applyFont="1" applyFill="1" applyBorder="1" applyAlignment="1"/>
    <xf numFmtId="0" fontId="9" fillId="0" borderId="13" xfId="0" applyFont="1" applyFill="1" applyBorder="1" applyAlignment="1"/>
    <xf numFmtId="0" fontId="2" fillId="8" borderId="14" xfId="0" applyFont="1" applyFill="1" applyBorder="1" applyAlignment="1">
      <alignment horizontal="center"/>
    </xf>
    <xf numFmtId="0" fontId="2" fillId="0" borderId="25" xfId="0" applyFont="1" applyFill="1" applyBorder="1" applyAlignment="1"/>
    <xf numFmtId="0" fontId="4" fillId="0" borderId="19" xfId="0" applyFont="1" applyFill="1" applyBorder="1" applyAlignment="1">
      <alignment horizontal="left" vertical="center"/>
    </xf>
    <xf numFmtId="0" fontId="4" fillId="6" borderId="22" xfId="0" applyFont="1" applyFill="1" applyBorder="1" applyAlignment="1">
      <alignment horizontal="left" vertical="center"/>
    </xf>
    <xf numFmtId="0" fontId="2" fillId="13" borderId="43" xfId="0" applyFont="1" applyFill="1" applyBorder="1" applyAlignment="1">
      <alignment horizontal="center"/>
    </xf>
    <xf numFmtId="1" fontId="4" fillId="8" borderId="7" xfId="0" applyNumberFormat="1" applyFont="1" applyFill="1" applyBorder="1" applyAlignment="1">
      <alignment horizontal="center" vertical="center"/>
    </xf>
    <xf numFmtId="0" fontId="4" fillId="7" borderId="18" xfId="0" applyFont="1" applyFill="1" applyBorder="1" applyAlignment="1">
      <alignment horizontal="center" vertical="center"/>
    </xf>
    <xf numFmtId="1" fontId="4" fillId="6" borderId="22" xfId="0" applyNumberFormat="1" applyFont="1" applyFill="1" applyBorder="1" applyAlignment="1">
      <alignment horizontal="center" vertical="center"/>
    </xf>
    <xf numFmtId="2" fontId="4" fillId="0" borderId="0" xfId="0" applyNumberFormat="1" applyFont="1" applyFill="1" applyAlignment="1">
      <alignment horizontal="center" vertical="center"/>
    </xf>
    <xf numFmtId="0" fontId="4" fillId="6" borderId="18" xfId="0" applyFont="1" applyFill="1" applyBorder="1" applyAlignment="1">
      <alignment horizontal="center" vertical="center"/>
    </xf>
    <xf numFmtId="0" fontId="4" fillId="0" borderId="24" xfId="0" applyFont="1" applyFill="1" applyBorder="1" applyAlignment="1">
      <alignment horizontal="left" wrapText="1"/>
    </xf>
    <xf numFmtId="0" fontId="4" fillId="0" borderId="21" xfId="0" applyFont="1" applyFill="1" applyBorder="1" applyAlignment="1">
      <alignment horizontal="left" wrapText="1"/>
    </xf>
    <xf numFmtId="1" fontId="4" fillId="7" borderId="22" xfId="0" applyNumberFormat="1" applyFont="1" applyFill="1" applyBorder="1" applyAlignment="1">
      <alignment horizontal="center" vertical="center"/>
    </xf>
    <xf numFmtId="0" fontId="4" fillId="0" borderId="0" xfId="0" applyFont="1" applyFill="1" applyAlignment="1">
      <alignment horizontal="left" wrapText="1"/>
    </xf>
    <xf numFmtId="1" fontId="4" fillId="0" borderId="0" xfId="0" applyNumberFormat="1" applyFont="1" applyFill="1" applyAlignment="1">
      <alignment horizontal="center" vertical="center"/>
    </xf>
    <xf numFmtId="0" fontId="1" fillId="0" borderId="0" xfId="0" applyFont="1" applyFill="1" applyAlignment="1">
      <alignment horizontal="fill" vertical="center" wrapText="1"/>
    </xf>
    <xf numFmtId="0" fontId="4" fillId="14" borderId="22" xfId="0" applyFont="1" applyFill="1" applyBorder="1" applyAlignment="1">
      <alignment horizontal="center"/>
    </xf>
    <xf numFmtId="0" fontId="17" fillId="0" borderId="0" xfId="0" applyFont="1" applyFill="1" applyAlignment="1">
      <alignment horizontal="center"/>
    </xf>
    <xf numFmtId="1" fontId="4" fillId="2" borderId="22" xfId="0" applyNumberFormat="1" applyFont="1" applyFill="1" applyBorder="1" applyAlignment="1">
      <alignment horizontal="center"/>
    </xf>
    <xf numFmtId="0" fontId="2" fillId="0" borderId="28" xfId="0" applyFont="1" applyFill="1" applyBorder="1" applyAlignment="1"/>
    <xf numFmtId="0" fontId="2" fillId="0" borderId="28" xfId="0" applyFont="1" applyFill="1" applyBorder="1" applyAlignment="1">
      <alignment horizontal="center"/>
    </xf>
    <xf numFmtId="0" fontId="4" fillId="0" borderId="44" xfId="0" applyFont="1" applyFill="1" applyBorder="1" applyAlignment="1"/>
    <xf numFmtId="0" fontId="4" fillId="0" borderId="44" xfId="0" applyFont="1" applyFill="1" applyBorder="1" applyAlignment="1">
      <alignment horizontal="center"/>
    </xf>
    <xf numFmtId="0" fontId="9" fillId="0" borderId="10" xfId="0" applyFont="1" applyFill="1" applyBorder="1" applyAlignment="1">
      <alignment wrapText="1"/>
    </xf>
    <xf numFmtId="0" fontId="4" fillId="0" borderId="13" xfId="0" applyFont="1" applyFill="1" applyBorder="1" applyAlignment="1">
      <alignment wrapText="1"/>
    </xf>
    <xf numFmtId="0" fontId="4" fillId="0" borderId="16" xfId="0" applyFont="1" applyFill="1" applyBorder="1" applyAlignment="1">
      <alignment wrapText="1"/>
    </xf>
    <xf numFmtId="0" fontId="9" fillId="0" borderId="19" xfId="0" applyFont="1" applyFill="1" applyBorder="1" applyAlignment="1">
      <alignment wrapText="1"/>
    </xf>
    <xf numFmtId="0" fontId="4" fillId="6" borderId="22" xfId="0" applyFont="1" applyFill="1" applyBorder="1" applyAlignment="1">
      <alignment horizontal="center"/>
    </xf>
    <xf numFmtId="0" fontId="15" fillId="8" borderId="37" xfId="0" applyFont="1" applyFill="1" applyBorder="1" applyAlignment="1">
      <alignment horizontal="center"/>
    </xf>
    <xf numFmtId="0" fontId="4" fillId="0" borderId="19" xfId="0" applyFont="1" applyFill="1" applyBorder="1" applyAlignment="1">
      <alignment wrapText="1"/>
    </xf>
    <xf numFmtId="0" fontId="4" fillId="5" borderId="22" xfId="0" applyFont="1" applyFill="1" applyBorder="1" applyAlignment="1">
      <alignment horizontal="center"/>
    </xf>
    <xf numFmtId="0" fontId="15" fillId="8" borderId="7" xfId="0" applyFont="1" applyFill="1" applyBorder="1" applyAlignment="1">
      <alignment horizontal="center"/>
    </xf>
    <xf numFmtId="0" fontId="18" fillId="0" borderId="0" xfId="0" applyFont="1" applyFill="1" applyAlignment="1"/>
    <xf numFmtId="0" fontId="15" fillId="8" borderId="38" xfId="0" applyFont="1" applyFill="1" applyBorder="1" applyAlignment="1">
      <alignment horizontal="center"/>
    </xf>
    <xf numFmtId="0" fontId="1" fillId="0" borderId="24" xfId="0" applyFont="1" applyFill="1" applyBorder="1" applyAlignment="1">
      <alignment horizontal="center"/>
    </xf>
    <xf numFmtId="0" fontId="1" fillId="0" borderId="25" xfId="0" applyFont="1" applyFill="1" applyBorder="1" applyAlignment="1">
      <alignment horizontal="center"/>
    </xf>
    <xf numFmtId="0" fontId="15" fillId="8" borderId="14" xfId="0" applyFont="1" applyFill="1" applyBorder="1" applyAlignment="1">
      <alignment horizontal="center"/>
    </xf>
    <xf numFmtId="0" fontId="1" fillId="0" borderId="41" xfId="0" applyFont="1" applyFill="1" applyBorder="1" applyAlignment="1">
      <alignment horizontal="center"/>
    </xf>
    <xf numFmtId="0" fontId="1" fillId="0" borderId="37" xfId="0" applyFont="1" applyFill="1" applyBorder="1" applyAlignment="1">
      <alignment horizontal="center"/>
    </xf>
    <xf numFmtId="0" fontId="4" fillId="0" borderId="1" xfId="0" applyFont="1" applyFill="1" applyBorder="1" applyAlignment="1">
      <alignment horizontal="left" wrapText="1"/>
    </xf>
    <xf numFmtId="1" fontId="4" fillId="8" borderId="14" xfId="0" applyNumberFormat="1" applyFont="1" applyFill="1" applyBorder="1" applyAlignment="1">
      <alignment horizontal="center" vertical="center"/>
    </xf>
    <xf numFmtId="0" fontId="4" fillId="0" borderId="20" xfId="0" applyFont="1" applyFill="1" applyBorder="1" applyAlignment="1">
      <alignment horizontal="left" wrapText="1"/>
    </xf>
    <xf numFmtId="1" fontId="4" fillId="8" borderId="21" xfId="0" applyNumberFormat="1" applyFont="1" applyFill="1" applyBorder="1" applyAlignment="1">
      <alignment horizontal="center" vertical="center"/>
    </xf>
    <xf numFmtId="178" fontId="4" fillId="6" borderId="20" xfId="0" applyNumberFormat="1" applyFont="1" applyFill="1" applyBorder="1" applyAlignment="1">
      <alignment horizontal="center"/>
    </xf>
    <xf numFmtId="178" fontId="4" fillId="6" borderId="22" xfId="0" applyNumberFormat="1" applyFont="1" applyFill="1" applyBorder="1" applyAlignment="1">
      <alignment horizontal="center"/>
    </xf>
    <xf numFmtId="0" fontId="1" fillId="0" borderId="24" xfId="0" applyFont="1" applyFill="1" applyBorder="1" applyAlignment="1">
      <alignment horizontal="center" vertical="center"/>
    </xf>
    <xf numFmtId="0" fontId="1" fillId="0" borderId="25" xfId="0" applyFont="1" applyFill="1" applyBorder="1" applyAlignment="1">
      <alignment horizontal="center" vertical="center"/>
    </xf>
    <xf numFmtId="0" fontId="2" fillId="0" borderId="41" xfId="0" applyFont="1" applyFill="1" applyBorder="1" applyAlignment="1">
      <alignment horizontal="center"/>
    </xf>
    <xf numFmtId="0" fontId="2" fillId="0" borderId="37" xfId="0" applyFont="1" applyFill="1" applyBorder="1" applyAlignment="1">
      <alignment horizontal="center"/>
    </xf>
    <xf numFmtId="0" fontId="1" fillId="0" borderId="61" xfId="0" applyFont="1" applyFill="1" applyBorder="1" applyAlignment="1">
      <alignment horizontal="fill" wrapText="1"/>
    </xf>
    <xf numFmtId="0" fontId="4" fillId="0" borderId="12" xfId="0" applyFont="1" applyFill="1" applyBorder="1" applyAlignment="1">
      <alignment wrapText="1"/>
    </xf>
    <xf numFmtId="0" fontId="4" fillId="7" borderId="18" xfId="0" applyFont="1" applyFill="1" applyBorder="1" applyAlignment="1">
      <alignment horizontal="center"/>
    </xf>
    <xf numFmtId="178" fontId="2" fillId="2" borderId="18" xfId="0" applyNumberFormat="1" applyFont="1" applyFill="1" applyBorder="1" applyAlignment="1">
      <alignment horizontal="center"/>
    </xf>
    <xf numFmtId="178" fontId="2" fillId="2" borderId="22" xfId="0" applyNumberFormat="1" applyFont="1" applyFill="1" applyBorder="1" applyAlignment="1">
      <alignment horizontal="center"/>
    </xf>
    <xf numFmtId="0" fontId="9" fillId="0" borderId="13" xfId="0" applyFont="1" applyFill="1" applyBorder="1" applyAlignment="1">
      <alignment wrapText="1"/>
    </xf>
    <xf numFmtId="178" fontId="4" fillId="6" borderId="1" xfId="0" applyNumberFormat="1" applyFont="1" applyFill="1" applyBorder="1" applyAlignment="1">
      <alignment horizontal="center"/>
    </xf>
    <xf numFmtId="2" fontId="4" fillId="14" borderId="22" xfId="0" applyNumberFormat="1" applyFont="1" applyFill="1" applyBorder="1" applyAlignment="1">
      <alignment horizontal="center"/>
    </xf>
    <xf numFmtId="1" fontId="4" fillId="0" borderId="44" xfId="0" applyNumberFormat="1" applyFont="1" applyFill="1" applyBorder="1" applyAlignment="1">
      <alignment horizontal="center" vertical="center"/>
    </xf>
    <xf numFmtId="0" fontId="4" fillId="0" borderId="14" xfId="0" applyFont="1" applyFill="1" applyBorder="1" applyAlignment="1">
      <alignment horizontal="left" wrapText="1"/>
    </xf>
    <xf numFmtId="0" fontId="4" fillId="3" borderId="22" xfId="0" applyFont="1" applyFill="1" applyBorder="1" applyAlignment="1">
      <alignment horizontal="center"/>
    </xf>
    <xf numFmtId="0" fontId="2" fillId="0" borderId="0" xfId="0" applyFont="1" applyFill="1" applyAlignment="1">
      <alignment horizontal="right" wrapText="1"/>
    </xf>
    <xf numFmtId="0" fontId="4" fillId="0" borderId="38" xfId="0" applyFont="1" applyFill="1" applyBorder="1" applyAlignment="1">
      <alignment wrapText="1"/>
    </xf>
    <xf numFmtId="179" fontId="4" fillId="2" borderId="18" xfId="0" applyNumberFormat="1" applyFont="1" applyFill="1" applyBorder="1" applyAlignment="1">
      <alignment horizontal="center"/>
    </xf>
    <xf numFmtId="0" fontId="2" fillId="0" borderId="19" xfId="0" applyFont="1" applyFill="1" applyBorder="1" applyAlignment="1">
      <alignment horizontal="right" wrapText="1"/>
    </xf>
    <xf numFmtId="0" fontId="2" fillId="0" borderId="20" xfId="0" applyFont="1" applyFill="1" applyBorder="1" applyAlignment="1">
      <alignment horizontal="center" wrapText="1"/>
    </xf>
    <xf numFmtId="178" fontId="2" fillId="0" borderId="0" xfId="0" applyNumberFormat="1" applyFont="1" applyFill="1" applyAlignment="1">
      <alignment horizontal="center"/>
    </xf>
    <xf numFmtId="0" fontId="9" fillId="0" borderId="62" xfId="0" applyFont="1" applyFill="1" applyBorder="1" applyAlignment="1">
      <alignment horizontal="center"/>
    </xf>
    <xf numFmtId="0" fontId="2" fillId="3" borderId="18" xfId="0" applyFont="1" applyFill="1" applyBorder="1" applyAlignment="1">
      <alignment horizontal="center"/>
    </xf>
    <xf numFmtId="1" fontId="2" fillId="2" borderId="18" xfId="0" applyNumberFormat="1" applyFont="1" applyFill="1" applyBorder="1" applyAlignment="1">
      <alignment horizontal="center"/>
    </xf>
    <xf numFmtId="1" fontId="1" fillId="6" borderId="18" xfId="0" applyNumberFormat="1" applyFont="1" applyFill="1" applyBorder="1" applyAlignment="1">
      <alignment horizontal="center"/>
    </xf>
    <xf numFmtId="1" fontId="1" fillId="2" borderId="18" xfId="0" applyNumberFormat="1" applyFont="1" applyFill="1" applyBorder="1" applyAlignment="1">
      <alignment horizontal="center"/>
    </xf>
    <xf numFmtId="0" fontId="4" fillId="0" borderId="17" xfId="0" applyFont="1" applyFill="1" applyBorder="1" applyAlignment="1">
      <alignment horizontal="left" wrapText="1"/>
    </xf>
    <xf numFmtId="0" fontId="4" fillId="0" borderId="49" xfId="0" applyFont="1" applyFill="1" applyBorder="1" applyAlignment="1">
      <alignment horizontal="center" wrapText="1"/>
    </xf>
    <xf numFmtId="1" fontId="2" fillId="6" borderId="18" xfId="0" applyNumberFormat="1" applyFont="1" applyFill="1" applyBorder="1" applyAlignment="1">
      <alignment horizontal="center"/>
    </xf>
    <xf numFmtId="178" fontId="1" fillId="2" borderId="18" xfId="0" applyNumberFormat="1" applyFont="1" applyFill="1" applyBorder="1" applyAlignment="1">
      <alignment horizontal="center"/>
    </xf>
    <xf numFmtId="0" fontId="13" fillId="0" borderId="0" xfId="0" applyFont="1" applyFill="1" applyAlignment="1">
      <alignment horizontal="left"/>
    </xf>
    <xf numFmtId="0" fontId="4" fillId="0" borderId="24" xfId="0" applyFont="1" applyFill="1" applyBorder="1" applyAlignment="1">
      <alignment horizontal="right" wrapText="1"/>
    </xf>
    <xf numFmtId="0" fontId="2" fillId="6" borderId="24" xfId="0" applyFont="1" applyFill="1" applyBorder="1" applyAlignment="1">
      <alignment horizontal="center"/>
    </xf>
    <xf numFmtId="0" fontId="2" fillId="8" borderId="14" xfId="0" applyFont="1" applyFill="1" applyBorder="1" applyAlignment="1"/>
    <xf numFmtId="0" fontId="5" fillId="10" borderId="1" xfId="0" applyFont="1" applyFill="1" applyBorder="1" applyAlignment="1">
      <alignment horizontal="center"/>
    </xf>
    <xf numFmtId="0" fontId="5" fillId="10" borderId="18" xfId="0" applyFont="1" applyFill="1" applyBorder="1" applyAlignment="1">
      <alignment horizontal="center"/>
    </xf>
    <xf numFmtId="0" fontId="2" fillId="0" borderId="1" xfId="0" applyFont="1" applyFill="1" applyBorder="1" applyAlignment="1">
      <alignment wrapText="1"/>
    </xf>
    <xf numFmtId="0" fontId="2" fillId="8" borderId="17" xfId="0" applyFont="1" applyFill="1" applyBorder="1" applyAlignment="1"/>
    <xf numFmtId="0" fontId="2" fillId="0" borderId="14" xfId="0" applyFont="1" applyFill="1" applyBorder="1" applyAlignment="1">
      <alignment wrapText="1"/>
    </xf>
    <xf numFmtId="0" fontId="2" fillId="8" borderId="12" xfId="0" applyFont="1" applyFill="1" applyBorder="1" applyAlignment="1"/>
    <xf numFmtId="0" fontId="2" fillId="0" borderId="20" xfId="0" applyFont="1" applyFill="1" applyBorder="1" applyAlignment="1">
      <alignment wrapText="1"/>
    </xf>
    <xf numFmtId="0" fontId="2" fillId="8" borderId="21" xfId="0" applyFont="1" applyFill="1" applyBorder="1" applyAlignment="1"/>
    <xf numFmtId="0" fontId="5" fillId="10" borderId="20" xfId="0" applyFont="1" applyFill="1" applyBorder="1" applyAlignment="1">
      <alignment horizontal="center"/>
    </xf>
    <xf numFmtId="0" fontId="5" fillId="10" borderId="22" xfId="0" applyFont="1" applyFill="1" applyBorder="1" applyAlignment="1">
      <alignment horizontal="center"/>
    </xf>
    <xf numFmtId="0" fontId="4" fillId="0" borderId="38" xfId="0" applyFont="1" applyFill="1" applyBorder="1" applyAlignment="1">
      <alignment horizontal="left" wrapText="1"/>
    </xf>
    <xf numFmtId="0" fontId="19" fillId="0" borderId="13" xfId="0" applyFont="1" applyFill="1" applyBorder="1" applyAlignment="1">
      <alignment horizontal="left" wrapText="1"/>
    </xf>
    <xf numFmtId="1" fontId="2" fillId="6" borderId="1" xfId="0" applyNumberFormat="1" applyFont="1" applyFill="1" applyBorder="1" applyAlignment="1">
      <alignment horizontal="center"/>
    </xf>
    <xf numFmtId="1" fontId="5" fillId="10" borderId="63" xfId="0" applyNumberFormat="1" applyFont="1" applyFill="1" applyBorder="1" applyAlignment="1">
      <alignment horizontal="center" vertical="center"/>
    </xf>
    <xf numFmtId="1" fontId="2" fillId="2" borderId="1" xfId="0" applyNumberFormat="1" applyFont="1" applyFill="1" applyBorder="1" applyAlignment="1">
      <alignment horizontal="center"/>
    </xf>
    <xf numFmtId="1" fontId="5" fillId="10" borderId="64" xfId="0" applyNumberFormat="1" applyFont="1" applyFill="1" applyBorder="1" applyAlignment="1">
      <alignment horizontal="center" vertical="center"/>
    </xf>
    <xf numFmtId="0" fontId="1" fillId="0" borderId="0" xfId="0" applyFont="1" applyFill="1" applyAlignment="1">
      <alignment horizontal="center"/>
    </xf>
    <xf numFmtId="0" fontId="4" fillId="0" borderId="0" xfId="49" applyAlignment="1">
      <alignment wrapText="1"/>
    </xf>
    <xf numFmtId="0" fontId="4" fillId="0" borderId="13" xfId="49" applyBorder="1" applyAlignment="1">
      <alignment wrapText="1"/>
    </xf>
    <xf numFmtId="49" fontId="1" fillId="6" borderId="22" xfId="0" applyNumberFormat="1" applyFont="1" applyFill="1" applyBorder="1" applyAlignment="1">
      <alignment horizontal="center"/>
    </xf>
    <xf numFmtId="0" fontId="4" fillId="0" borderId="19" xfId="49" applyBorder="1" applyAlignment="1">
      <alignment wrapText="1"/>
    </xf>
    <xf numFmtId="0" fontId="1" fillId="8" borderId="7" xfId="0" applyFont="1" applyFill="1" applyBorder="1" applyAlignment="1">
      <alignment horizontal="center"/>
    </xf>
    <xf numFmtId="0" fontId="1" fillId="6" borderId="18" xfId="0" applyFont="1" applyFill="1" applyBorder="1" applyAlignment="1">
      <alignment horizontal="center"/>
    </xf>
    <xf numFmtId="0" fontId="1" fillId="6" borderId="22" xfId="0" applyFont="1" applyFill="1" applyBorder="1" applyAlignment="1">
      <alignment horizontal="center"/>
    </xf>
    <xf numFmtId="0" fontId="4" fillId="0" borderId="1" xfId="50" applyBorder="1" applyAlignment="1">
      <alignment horizontal="left" vertical="top" wrapText="1"/>
    </xf>
    <xf numFmtId="0" fontId="4" fillId="0" borderId="20" xfId="50" applyBorder="1" applyAlignment="1">
      <alignment horizontal="left" vertical="top" wrapText="1"/>
    </xf>
    <xf numFmtId="0" fontId="1" fillId="8" borderId="25" xfId="0" applyFont="1" applyFill="1" applyBorder="1" applyAlignment="1">
      <alignment horizontal="center"/>
    </xf>
    <xf numFmtId="0" fontId="2" fillId="0" borderId="44" xfId="0" applyFont="1" applyFill="1" applyBorder="1" applyAlignment="1"/>
    <xf numFmtId="0" fontId="9" fillId="0" borderId="62" xfId="0" applyFont="1" applyFill="1" applyBorder="1" applyAlignment="1"/>
    <xf numFmtId="0" fontId="2" fillId="0" borderId="61" xfId="0" applyFont="1" applyFill="1" applyBorder="1" applyAlignment="1"/>
    <xf numFmtId="0" fontId="4" fillId="0" borderId="35" xfId="49" applyBorder="1" applyAlignment="1">
      <alignment wrapText="1"/>
    </xf>
    <xf numFmtId="0" fontId="4" fillId="0" borderId="36" xfId="49" applyBorder="1" applyAlignment="1">
      <alignment wrapText="1"/>
    </xf>
    <xf numFmtId="0" fontId="15" fillId="0" borderId="65" xfId="0" applyFont="1" applyFill="1" applyBorder="1" applyAlignment="1">
      <alignment horizontal="center"/>
    </xf>
    <xf numFmtId="0" fontId="2" fillId="15" borderId="7" xfId="0" applyFont="1" applyFill="1" applyBorder="1" applyAlignment="1"/>
    <xf numFmtId="0" fontId="9" fillId="0" borderId="40" xfId="0" applyFont="1" applyFill="1" applyBorder="1" applyAlignment="1">
      <alignment horizontal="left" wrapText="1"/>
    </xf>
    <xf numFmtId="0" fontId="4" fillId="0" borderId="41" xfId="0" applyFont="1" applyFill="1" applyBorder="1" applyAlignment="1">
      <alignment horizontal="center" wrapText="1"/>
    </xf>
    <xf numFmtId="0" fontId="4" fillId="0" borderId="42" xfId="0" applyFont="1" applyFill="1" applyBorder="1" applyAlignment="1">
      <alignment horizontal="left" wrapText="1"/>
    </xf>
    <xf numFmtId="0" fontId="9" fillId="0" borderId="13" xfId="0" applyFont="1" applyFill="1" applyBorder="1" applyAlignment="1">
      <alignment horizontal="left" wrapText="1"/>
    </xf>
    <xf numFmtId="0" fontId="9" fillId="0" borderId="16" xfId="0" applyFont="1" applyFill="1" applyBorder="1" applyAlignment="1">
      <alignment horizontal="right" wrapText="1"/>
    </xf>
    <xf numFmtId="49" fontId="4" fillId="13" borderId="39" xfId="0" applyNumberFormat="1" applyFont="1" applyFill="1" applyBorder="1" applyAlignment="1">
      <alignment horizontal="center"/>
    </xf>
    <xf numFmtId="1" fontId="4" fillId="0" borderId="65" xfId="0" applyNumberFormat="1" applyFont="1" applyFill="1" applyBorder="1" applyAlignment="1">
      <alignment horizontal="center" vertical="center"/>
    </xf>
    <xf numFmtId="0" fontId="9" fillId="0" borderId="24" xfId="0" applyFont="1" applyFill="1" applyBorder="1" applyAlignment="1">
      <alignment horizontal="center" wrapText="1"/>
    </xf>
    <xf numFmtId="0" fontId="4" fillId="2" borderId="25" xfId="0" applyFont="1" applyFill="1" applyBorder="1" applyAlignment="1">
      <alignment horizontal="center" vertical="center"/>
    </xf>
    <xf numFmtId="1" fontId="4" fillId="0" borderId="28" xfId="0" applyNumberFormat="1" applyFont="1" applyFill="1" applyBorder="1" applyAlignment="1">
      <alignment horizontal="center" vertical="center"/>
    </xf>
    <xf numFmtId="0" fontId="4" fillId="6" borderId="18" xfId="0" applyFont="1" applyFill="1" applyBorder="1" applyAlignment="1">
      <alignment horizontal="center" wrapText="1"/>
    </xf>
    <xf numFmtId="0" fontId="4" fillId="6" borderId="22" xfId="0" applyFont="1" applyFill="1" applyBorder="1" applyAlignment="1">
      <alignment horizontal="center" wrapText="1"/>
    </xf>
    <xf numFmtId="0" fontId="15" fillId="0" borderId="44" xfId="0" applyFont="1" applyFill="1" applyBorder="1" applyAlignment="1">
      <alignment horizontal="center"/>
    </xf>
    <xf numFmtId="0" fontId="4" fillId="2" borderId="18" xfId="0" applyFont="1" applyFill="1" applyBorder="1" applyAlignment="1">
      <alignment horizontal="center" wrapText="1"/>
    </xf>
    <xf numFmtId="0" fontId="4" fillId="2" borderId="22" xfId="0" applyFont="1" applyFill="1" applyBorder="1" applyAlignment="1">
      <alignment horizontal="center" wrapText="1"/>
    </xf>
    <xf numFmtId="0" fontId="20" fillId="0" borderId="0" xfId="0" applyFont="1" applyFill="1" applyAlignment="1">
      <alignment horizontal="center"/>
    </xf>
    <xf numFmtId="0" fontId="2" fillId="0" borderId="24" xfId="0" applyFont="1" applyFill="1" applyBorder="1" applyAlignment="1">
      <alignment wrapText="1"/>
    </xf>
    <xf numFmtId="0" fontId="2" fillId="0" borderId="38" xfId="0" applyFont="1" applyFill="1" applyBorder="1" applyAlignment="1">
      <alignment wrapText="1"/>
    </xf>
    <xf numFmtId="0" fontId="13" fillId="8" borderId="7" xfId="0" applyFont="1" applyFill="1" applyBorder="1" applyAlignment="1">
      <alignment wrapText="1"/>
    </xf>
    <xf numFmtId="0" fontId="2" fillId="0" borderId="65" xfId="0" applyFont="1" applyFill="1" applyBorder="1" applyAlignment="1"/>
    <xf numFmtId="0" fontId="2" fillId="0" borderId="24" xfId="0" applyFont="1" applyFill="1" applyBorder="1" applyAlignment="1">
      <alignment horizontal="center" wrapText="1"/>
    </xf>
    <xf numFmtId="0" fontId="2" fillId="0" borderId="24" xfId="0" applyFont="1" applyFill="1" applyBorder="1" applyAlignment="1">
      <alignment horizontal="right" wrapText="1"/>
    </xf>
    <xf numFmtId="0" fontId="2" fillId="8" borderId="42" xfId="0" applyFont="1" applyFill="1" applyBorder="1" applyAlignment="1">
      <alignment wrapText="1"/>
    </xf>
    <xf numFmtId="0" fontId="2" fillId="0" borderId="41" xfId="0" applyFont="1" applyFill="1" applyBorder="1" applyAlignment="1"/>
    <xf numFmtId="0" fontId="2" fillId="0" borderId="37" xfId="0" applyFont="1" applyFill="1" applyBorder="1" applyAlignment="1"/>
    <xf numFmtId="0" fontId="2" fillId="8" borderId="20" xfId="0" applyFont="1" applyFill="1" applyBorder="1" applyAlignment="1">
      <alignment horizontal="center"/>
    </xf>
    <xf numFmtId="1" fontId="4" fillId="6" borderId="20" xfId="0" applyNumberFormat="1" applyFont="1" applyFill="1" applyBorder="1" applyAlignment="1">
      <alignment horizontal="center"/>
    </xf>
    <xf numFmtId="0" fontId="2" fillId="0" borderId="65" xfId="0" applyFont="1" applyFill="1" applyBorder="1" applyAlignment="1">
      <alignment horizontal="center"/>
    </xf>
    <xf numFmtId="0" fontId="4" fillId="0" borderId="24" xfId="0" applyFont="1" applyFill="1" applyBorder="1" applyAlignment="1">
      <alignment horizontal="right"/>
    </xf>
    <xf numFmtId="0" fontId="2" fillId="8" borderId="66" xfId="0" applyFont="1" applyFill="1" applyBorder="1" applyAlignment="1">
      <alignment horizontal="center"/>
    </xf>
    <xf numFmtId="0" fontId="2" fillId="0" borderId="42" xfId="0" applyFont="1" applyFill="1" applyBorder="1" applyAlignment="1"/>
    <xf numFmtId="0" fontId="2" fillId="0" borderId="11" xfId="0" applyFont="1" applyFill="1" applyBorder="1" applyAlignment="1"/>
    <xf numFmtId="0" fontId="2" fillId="0" borderId="20" xfId="0" applyFont="1" applyFill="1" applyBorder="1" applyAlignment="1"/>
    <xf numFmtId="2" fontId="2" fillId="5" borderId="22" xfId="0" applyNumberFormat="1" applyFont="1" applyFill="1" applyBorder="1" applyAlignment="1">
      <alignment horizontal="center"/>
    </xf>
    <xf numFmtId="2" fontId="2" fillId="0" borderId="0" xfId="0" applyNumberFormat="1" applyFont="1" applyFill="1" applyAlignment="1">
      <alignment horizontal="center"/>
    </xf>
    <xf numFmtId="2" fontId="21" fillId="13" borderId="25" xfId="0" applyNumberFormat="1" applyFont="1" applyFill="1" applyBorder="1" applyAlignment="1">
      <alignment horizontal="left" vertical="center" wrapText="1"/>
    </xf>
    <xf numFmtId="2" fontId="2" fillId="2" borderId="22" xfId="0" applyNumberFormat="1" applyFont="1" applyFill="1" applyBorder="1" applyAlignment="1">
      <alignment horizontal="center"/>
    </xf>
    <xf numFmtId="1" fontId="15" fillId="0" borderId="44" xfId="0" applyNumberFormat="1" applyFont="1" applyFill="1" applyBorder="1" applyAlignment="1">
      <alignment horizontal="center"/>
    </xf>
    <xf numFmtId="1" fontId="15" fillId="8" borderId="37" xfId="0" applyNumberFormat="1" applyFont="1" applyFill="1" applyBorder="1" applyAlignment="1">
      <alignment horizontal="center"/>
    </xf>
    <xf numFmtId="0" fontId="2" fillId="0" borderId="67" xfId="0" applyFont="1" applyFill="1" applyBorder="1" applyAlignment="1"/>
    <xf numFmtId="0" fontId="4" fillId="16" borderId="7" xfId="0" applyFont="1" applyFill="1" applyBorder="1" applyAlignment="1">
      <alignment horizontal="center" wrapText="1"/>
    </xf>
    <xf numFmtId="1" fontId="4" fillId="8" borderId="12" xfId="0" applyNumberFormat="1" applyFont="1" applyFill="1" applyBorder="1" applyAlignment="1">
      <alignment horizontal="center" vertical="center"/>
    </xf>
    <xf numFmtId="1" fontId="15" fillId="8" borderId="7" xfId="0" applyNumberFormat="1" applyFont="1" applyFill="1" applyBorder="1" applyAlignment="1">
      <alignment horizontal="center"/>
    </xf>
    <xf numFmtId="0" fontId="13" fillId="0" borderId="0" xfId="0" applyFont="1" applyFill="1" applyAlignment="1"/>
    <xf numFmtId="0" fontId="13" fillId="0" borderId="14" xfId="0" applyFont="1" applyFill="1" applyBorder="1" applyAlignment="1">
      <alignment wrapText="1"/>
    </xf>
    <xf numFmtId="1" fontId="4" fillId="5" borderId="18" xfId="0" applyNumberFormat="1" applyFont="1" applyFill="1" applyBorder="1" applyAlignment="1">
      <alignment horizontal="center" vertical="center"/>
    </xf>
    <xf numFmtId="1" fontId="4" fillId="2" borderId="18" xfId="0" applyNumberFormat="1" applyFont="1" applyFill="1" applyBorder="1" applyAlignment="1">
      <alignment horizontal="center" vertical="center"/>
    </xf>
    <xf numFmtId="0" fontId="13" fillId="0" borderId="1" xfId="0" applyFont="1" applyFill="1" applyBorder="1" applyAlignment="1">
      <alignment wrapText="1"/>
    </xf>
    <xf numFmtId="0" fontId="13" fillId="0" borderId="17" xfId="0" applyFont="1" applyFill="1" applyBorder="1" applyAlignment="1">
      <alignment wrapText="1"/>
    </xf>
    <xf numFmtId="0" fontId="13" fillId="10" borderId="1" xfId="50" applyFont="1" applyFill="1" applyBorder="1" applyAlignment="1">
      <alignment horizontal="left" vertical="top"/>
    </xf>
    <xf numFmtId="0" fontId="4" fillId="0" borderId="10" xfId="0" applyFont="1" applyFill="1" applyBorder="1" applyAlignment="1">
      <alignment wrapText="1"/>
    </xf>
    <xf numFmtId="0" fontId="13" fillId="17" borderId="11" xfId="50" applyFont="1" applyFill="1" applyBorder="1" applyAlignment="1">
      <alignment horizontal="left" vertical="top"/>
    </xf>
    <xf numFmtId="0" fontId="13" fillId="17" borderId="1" xfId="50" applyFont="1" applyFill="1" applyBorder="1" applyAlignment="1">
      <alignment horizontal="left" vertical="top"/>
    </xf>
    <xf numFmtId="0" fontId="13" fillId="17" borderId="9" xfId="50" applyFont="1" applyFill="1" applyBorder="1" applyAlignment="1">
      <alignment horizontal="left" vertical="top"/>
    </xf>
    <xf numFmtId="0" fontId="13" fillId="10" borderId="20" xfId="50" applyFont="1" applyFill="1" applyBorder="1" applyAlignment="1">
      <alignment horizontal="left" vertical="top"/>
    </xf>
    <xf numFmtId="0" fontId="2" fillId="6" borderId="18" xfId="0" applyFont="1" applyFill="1" applyBorder="1" applyAlignment="1">
      <alignment horizontal="center" vertical="center"/>
    </xf>
    <xf numFmtId="0" fontId="4" fillId="6" borderId="22" xfId="0" applyFont="1" applyFill="1" applyBorder="1" applyAlignment="1">
      <alignment horizontal="center" vertical="center"/>
    </xf>
    <xf numFmtId="0" fontId="4" fillId="0" borderId="62" xfId="0" applyFont="1" applyFill="1" applyBorder="1" applyAlignment="1">
      <alignment horizontal="center"/>
    </xf>
    <xf numFmtId="0" fontId="2" fillId="0" borderId="6" xfId="0" applyFont="1" applyFill="1" applyBorder="1" applyAlignment="1">
      <alignment horizontal="center" vertical="center"/>
    </xf>
    <xf numFmtId="0" fontId="2" fillId="0" borderId="7" xfId="0" applyFont="1" applyFill="1" applyBorder="1" applyAlignment="1">
      <alignment horizontal="center" vertical="center"/>
    </xf>
    <xf numFmtId="0" fontId="2" fillId="0" borderId="0" xfId="0" applyFont="1" applyFill="1" applyAlignment="1">
      <alignment horizontal="center" vertical="center"/>
    </xf>
    <xf numFmtId="0" fontId="9" fillId="0" borderId="0" xfId="0" applyFont="1" applyFill="1" applyAlignment="1">
      <alignment horizontal="left"/>
    </xf>
    <xf numFmtId="0" fontId="4" fillId="0" borderId="36" xfId="0" applyFont="1" applyFill="1" applyBorder="1" applyAlignment="1">
      <alignment horizontal="center"/>
    </xf>
    <xf numFmtId="0" fontId="2" fillId="8" borderId="68" xfId="0" applyFont="1" applyFill="1" applyBorder="1" applyAlignment="1"/>
    <xf numFmtId="0" fontId="4" fillId="6" borderId="20" xfId="0" applyFont="1" applyFill="1" applyBorder="1" applyAlignment="1">
      <alignment horizontal="center"/>
    </xf>
    <xf numFmtId="0" fontId="2" fillId="8" borderId="25" xfId="0" applyFont="1" applyFill="1" applyBorder="1" applyAlignment="1">
      <alignment wrapText="1"/>
    </xf>
    <xf numFmtId="0" fontId="2" fillId="0" borderId="69" xfId="0" applyFont="1" applyFill="1" applyBorder="1" applyAlignment="1"/>
    <xf numFmtId="0" fontId="9" fillId="0" borderId="40" xfId="0" applyFont="1" applyFill="1" applyBorder="1" applyAlignment="1">
      <alignment wrapText="1"/>
    </xf>
    <xf numFmtId="0" fontId="2" fillId="0" borderId="41" xfId="0" applyFont="1" applyFill="1" applyBorder="1" applyAlignment="1">
      <alignment wrapText="1"/>
    </xf>
    <xf numFmtId="0" fontId="4" fillId="0" borderId="14" xfId="0" applyFont="1" applyFill="1" applyBorder="1" applyAlignment="1">
      <alignment horizontal="left"/>
    </xf>
    <xf numFmtId="0" fontId="2" fillId="6" borderId="1" xfId="0" applyFont="1" applyFill="1" applyBorder="1" applyAlignment="1">
      <alignment horizontal="center" wrapText="1"/>
    </xf>
    <xf numFmtId="0" fontId="2" fillId="0" borderId="41" xfId="0" applyFont="1" applyFill="1" applyBorder="1" applyAlignment="1">
      <alignment horizontal="center" wrapText="1"/>
    </xf>
    <xf numFmtId="0" fontId="2" fillId="0" borderId="37" xfId="0" applyFont="1" applyFill="1" applyBorder="1" applyAlignment="1">
      <alignment horizontal="center" wrapText="1"/>
    </xf>
    <xf numFmtId="0" fontId="4" fillId="6" borderId="20" xfId="0" applyFont="1" applyFill="1" applyBorder="1" applyAlignment="1">
      <alignment horizontal="center" wrapText="1"/>
    </xf>
    <xf numFmtId="0" fontId="22" fillId="8" borderId="7" xfId="0" applyFont="1" applyFill="1" applyBorder="1" applyAlignment="1">
      <alignment horizontal="center" wrapText="1"/>
    </xf>
    <xf numFmtId="0" fontId="2" fillId="0" borderId="13" xfId="0" applyFont="1" applyFill="1" applyBorder="1" applyAlignment="1">
      <alignment horizontal="right" wrapText="1"/>
    </xf>
    <xf numFmtId="0" fontId="2" fillId="0" borderId="21" xfId="0" applyFont="1" applyFill="1" applyBorder="1" applyAlignment="1"/>
    <xf numFmtId="0" fontId="9" fillId="0" borderId="32" xfId="0" applyFont="1" applyFill="1" applyBorder="1" applyAlignment="1">
      <alignment wrapText="1"/>
    </xf>
    <xf numFmtId="0" fontId="2" fillId="0" borderId="11" xfId="0" applyFont="1" applyFill="1" applyBorder="1" applyAlignment="1">
      <alignment wrapText="1"/>
    </xf>
    <xf numFmtId="0" fontId="2" fillId="0" borderId="44" xfId="0" applyFont="1" applyFill="1" applyBorder="1" applyAlignment="1">
      <alignment horizontal="center" vertical="center"/>
    </xf>
    <xf numFmtId="0" fontId="9" fillId="0" borderId="48" xfId="0" applyFont="1" applyFill="1" applyBorder="1" applyAlignment="1">
      <alignment wrapText="1"/>
    </xf>
    <xf numFmtId="0" fontId="2" fillId="0" borderId="11" xfId="0" applyFont="1" applyFill="1" applyBorder="1" applyAlignment="1">
      <alignment horizontal="center" wrapText="1"/>
    </xf>
    <xf numFmtId="0" fontId="2" fillId="0" borderId="33" xfId="0" applyFont="1" applyFill="1" applyBorder="1" applyAlignment="1">
      <alignment horizontal="center" wrapText="1"/>
    </xf>
    <xf numFmtId="0" fontId="2" fillId="8" borderId="20" xfId="0" applyFont="1" applyFill="1" applyBorder="1" applyAlignment="1">
      <alignment wrapText="1"/>
    </xf>
    <xf numFmtId="0" fontId="2" fillId="6" borderId="20" xfId="0" applyFont="1" applyFill="1" applyBorder="1" applyAlignment="1">
      <alignment horizontal="center" wrapText="1"/>
    </xf>
    <xf numFmtId="0" fontId="2" fillId="6" borderId="22" xfId="0" applyFont="1" applyFill="1" applyBorder="1" applyAlignment="1">
      <alignment horizontal="center" wrapText="1"/>
    </xf>
    <xf numFmtId="0" fontId="4" fillId="0" borderId="43" xfId="0" applyFont="1" applyFill="1" applyBorder="1" applyAlignment="1">
      <alignment horizontal="left"/>
    </xf>
    <xf numFmtId="0" fontId="1" fillId="6" borderId="18" xfId="0" applyFont="1" applyFill="1" applyBorder="1" applyAlignment="1">
      <alignment horizontal="center" wrapText="1"/>
    </xf>
    <xf numFmtId="0" fontId="2" fillId="0" borderId="0" xfId="0" applyFont="1" applyFill="1" applyAlignment="1">
      <alignment horizontal="right"/>
    </xf>
    <xf numFmtId="1" fontId="4" fillId="7" borderId="18" xfId="0" applyNumberFormat="1" applyFont="1" applyFill="1" applyBorder="1" applyAlignment="1">
      <alignment horizontal="center" vertical="center"/>
    </xf>
    <xf numFmtId="0" fontId="4" fillId="2" borderId="22" xfId="0" applyFont="1" applyFill="1" applyBorder="1" applyAlignment="1">
      <alignment horizontal="center" vertical="center"/>
    </xf>
    <xf numFmtId="0" fontId="22" fillId="8" borderId="38" xfId="0" applyFont="1" applyFill="1" applyBorder="1" applyAlignment="1">
      <alignment horizontal="center" wrapText="1"/>
    </xf>
    <xf numFmtId="0" fontId="2" fillId="0" borderId="60" xfId="0" applyFont="1" applyFill="1" applyBorder="1" applyAlignment="1">
      <alignment horizontal="center"/>
    </xf>
    <xf numFmtId="0" fontId="1" fillId="0" borderId="66" xfId="0" applyFont="1" applyFill="1" applyBorder="1" applyAlignment="1">
      <alignment horizontal="center"/>
    </xf>
    <xf numFmtId="0" fontId="1" fillId="0" borderId="7" xfId="0" applyFont="1" applyFill="1" applyBorder="1" applyAlignment="1">
      <alignment horizontal="center"/>
    </xf>
    <xf numFmtId="0" fontId="4" fillId="0" borderId="66" xfId="0" applyFont="1" applyFill="1" applyBorder="1" applyAlignment="1">
      <alignment horizontal="center"/>
    </xf>
    <xf numFmtId="0" fontId="4" fillId="0" borderId="7" xfId="0" applyFont="1" applyFill="1" applyBorder="1" applyAlignment="1">
      <alignment horizontal="center"/>
    </xf>
    <xf numFmtId="1" fontId="4" fillId="8" borderId="17" xfId="0" applyNumberFormat="1" applyFont="1" applyFill="1" applyBorder="1" applyAlignment="1">
      <alignment horizontal="center" vertical="center"/>
    </xf>
    <xf numFmtId="0" fontId="2" fillId="6" borderId="14" xfId="0" applyFont="1" applyFill="1" applyBorder="1" applyAlignment="1">
      <alignment horizontal="center"/>
    </xf>
    <xf numFmtId="0" fontId="1" fillId="0" borderId="0" xfId="0" applyFont="1" applyFill="1" applyAlignment="1">
      <alignment horizontal="fill"/>
    </xf>
    <xf numFmtId="0" fontId="2" fillId="6" borderId="9" xfId="0" applyFont="1" applyFill="1" applyBorder="1" applyAlignment="1">
      <alignment horizontal="center"/>
    </xf>
    <xf numFmtId="0" fontId="22" fillId="8" borderId="25" xfId="0" applyFont="1" applyFill="1" applyBorder="1" applyAlignment="1">
      <alignment horizontal="center" wrapText="1"/>
    </xf>
    <xf numFmtId="178" fontId="4" fillId="6" borderId="18" xfId="0" applyNumberFormat="1" applyFont="1" applyFill="1" applyBorder="1" applyAlignment="1">
      <alignment horizontal="center"/>
    </xf>
    <xf numFmtId="0" fontId="4" fillId="0" borderId="1" xfId="0" applyFont="1" applyFill="1" applyBorder="1" applyAlignment="1">
      <alignment horizontal="right" wrapText="1"/>
    </xf>
    <xf numFmtId="180" fontId="4" fillId="6" borderId="18" xfId="0" applyNumberFormat="1" applyFont="1" applyFill="1" applyBorder="1" applyAlignment="1">
      <alignment horizontal="center"/>
    </xf>
    <xf numFmtId="0" fontId="4" fillId="0" borderId="9" xfId="0" applyFont="1" applyFill="1" applyBorder="1" applyAlignment="1">
      <alignment horizontal="left" wrapText="1"/>
    </xf>
    <xf numFmtId="0" fontId="22" fillId="8" borderId="66" xfId="0" applyFont="1" applyFill="1" applyBorder="1" applyAlignment="1">
      <alignment horizontal="center" wrapText="1"/>
    </xf>
    <xf numFmtId="0" fontId="15" fillId="8" borderId="17" xfId="0" applyFont="1" applyFill="1" applyBorder="1" applyAlignment="1">
      <alignment horizontal="center"/>
    </xf>
    <xf numFmtId="0" fontId="2" fillId="0" borderId="17" xfId="0" applyFont="1" applyFill="1" applyBorder="1" applyAlignment="1">
      <alignment horizontal="center" vertical="center" wrapText="1"/>
    </xf>
    <xf numFmtId="0" fontId="2" fillId="0" borderId="39" xfId="0" applyFont="1" applyFill="1" applyBorder="1" applyAlignment="1">
      <alignment horizontal="center" vertical="center" wrapText="1"/>
    </xf>
    <xf numFmtId="178" fontId="2" fillId="6" borderId="1" xfId="0" applyNumberFormat="1" applyFont="1" applyFill="1" applyBorder="1" applyAlignment="1">
      <alignment horizontal="center"/>
    </xf>
    <xf numFmtId="178" fontId="2" fillId="6" borderId="1" xfId="0" applyNumberFormat="1" applyFont="1" applyFill="1" applyBorder="1" applyAlignment="1"/>
    <xf numFmtId="178" fontId="2" fillId="6" borderId="18" xfId="0" applyNumberFormat="1" applyFont="1" applyFill="1" applyBorder="1" applyAlignment="1"/>
    <xf numFmtId="2" fontId="2" fillId="6" borderId="1" xfId="0" applyNumberFormat="1" applyFont="1" applyFill="1" applyBorder="1" applyAlignment="1">
      <alignment horizontal="center"/>
    </xf>
    <xf numFmtId="2" fontId="2" fillId="6" borderId="1" xfId="0" applyNumberFormat="1" applyFont="1" applyFill="1" applyBorder="1" applyAlignment="1"/>
    <xf numFmtId="2" fontId="2" fillId="6" borderId="18" xfId="0" applyNumberFormat="1" applyFont="1" applyFill="1" applyBorder="1" applyAlignment="1"/>
    <xf numFmtId="0" fontId="15" fillId="8" borderId="12" xfId="0" applyFont="1" applyFill="1" applyBorder="1" applyAlignment="1">
      <alignment horizontal="center"/>
    </xf>
    <xf numFmtId="0" fontId="15" fillId="8" borderId="21" xfId="0" applyFont="1" applyFill="1" applyBorder="1" applyAlignment="1">
      <alignment horizontal="center"/>
    </xf>
    <xf numFmtId="178" fontId="2" fillId="6" borderId="20" xfId="0" applyNumberFormat="1" applyFont="1" applyFill="1" applyBorder="1" applyAlignment="1">
      <alignment horizontal="center"/>
    </xf>
    <xf numFmtId="178" fontId="2" fillId="6" borderId="20" xfId="0" applyNumberFormat="1" applyFont="1" applyFill="1" applyBorder="1" applyAlignment="1"/>
    <xf numFmtId="178" fontId="2" fillId="6" borderId="22" xfId="0" applyNumberFormat="1" applyFont="1" applyFill="1" applyBorder="1" applyAlignment="1"/>
    <xf numFmtId="0" fontId="22" fillId="8" borderId="12" xfId="0" applyFont="1" applyFill="1" applyBorder="1" applyAlignment="1">
      <alignment horizontal="center" wrapText="1"/>
    </xf>
    <xf numFmtId="0" fontId="15" fillId="8" borderId="42" xfId="0" applyFont="1" applyFill="1" applyBorder="1" applyAlignment="1">
      <alignment horizontal="center"/>
    </xf>
    <xf numFmtId="0" fontId="2" fillId="0" borderId="17" xfId="0" applyFont="1" applyFill="1" applyBorder="1" applyAlignment="1">
      <alignment horizontal="center"/>
    </xf>
    <xf numFmtId="0" fontId="2" fillId="0" borderId="39" xfId="0" applyFont="1" applyFill="1" applyBorder="1" applyAlignment="1">
      <alignment horizontal="center"/>
    </xf>
    <xf numFmtId="181" fontId="2" fillId="6" borderId="1" xfId="0" applyNumberFormat="1" applyFont="1" applyFill="1" applyBorder="1" applyAlignment="1">
      <alignment horizontal="center"/>
    </xf>
    <xf numFmtId="181" fontId="2" fillId="6" borderId="18" xfId="0" applyNumberFormat="1" applyFont="1" applyFill="1" applyBorder="1" applyAlignment="1">
      <alignment horizontal="center"/>
    </xf>
    <xf numFmtId="178" fontId="2" fillId="6" borderId="18" xfId="0" applyNumberFormat="1" applyFont="1" applyFill="1" applyBorder="1" applyAlignment="1">
      <alignment horizontal="center"/>
    </xf>
    <xf numFmtId="0" fontId="4" fillId="8" borderId="17" xfId="0" applyFont="1" applyFill="1" applyBorder="1" applyAlignment="1">
      <alignment horizontal="center"/>
    </xf>
    <xf numFmtId="2" fontId="2" fillId="6" borderId="18" xfId="0" applyNumberFormat="1" applyFont="1" applyFill="1" applyBorder="1" applyAlignment="1">
      <alignment horizontal="center"/>
    </xf>
    <xf numFmtId="0" fontId="4" fillId="8" borderId="21" xfId="0" applyFont="1" applyFill="1" applyBorder="1" applyAlignment="1">
      <alignment horizontal="center"/>
    </xf>
    <xf numFmtId="178" fontId="2" fillId="6" borderId="22" xfId="0" applyNumberFormat="1" applyFont="1" applyFill="1" applyBorder="1" applyAlignment="1">
      <alignment horizontal="center"/>
    </xf>
    <xf numFmtId="0" fontId="4" fillId="0" borderId="14" xfId="49" applyBorder="1"/>
    <xf numFmtId="179" fontId="2" fillId="6" borderId="18" xfId="0" applyNumberFormat="1" applyFont="1" applyFill="1" applyBorder="1" applyAlignment="1">
      <alignment horizontal="center"/>
    </xf>
    <xf numFmtId="0" fontId="4" fillId="0" borderId="14" xfId="50" applyBorder="1" applyAlignment="1">
      <alignment wrapText="1"/>
    </xf>
    <xf numFmtId="179" fontId="4" fillId="6" borderId="18" xfId="0" applyNumberFormat="1" applyFont="1" applyFill="1" applyBorder="1" applyAlignment="1">
      <alignment horizontal="center"/>
    </xf>
    <xf numFmtId="0" fontId="4" fillId="0" borderId="70" xfId="50" applyBorder="1" applyAlignment="1">
      <alignment wrapText="1"/>
    </xf>
    <xf numFmtId="0" fontId="4" fillId="0" borderId="21" xfId="50" applyBorder="1" applyAlignment="1">
      <alignment wrapText="1"/>
    </xf>
    <xf numFmtId="0" fontId="22" fillId="8" borderId="37" xfId="0" applyFont="1" applyFill="1" applyBorder="1" applyAlignment="1">
      <alignment horizontal="center" wrapText="1"/>
    </xf>
    <xf numFmtId="0" fontId="2" fillId="6" borderId="63" xfId="0" applyFont="1" applyFill="1" applyBorder="1" applyAlignment="1">
      <alignment horizontal="center"/>
    </xf>
    <xf numFmtId="181" fontId="2" fillId="6" borderId="22" xfId="0" applyNumberFormat="1" applyFont="1" applyFill="1" applyBorder="1" applyAlignment="1">
      <alignment horizontal="center"/>
    </xf>
    <xf numFmtId="2" fontId="2" fillId="6" borderId="22" xfId="0" applyNumberFormat="1" applyFont="1" applyFill="1" applyBorder="1" applyAlignment="1">
      <alignment horizontal="center"/>
    </xf>
    <xf numFmtId="0" fontId="4" fillId="0" borderId="68" xfId="0" applyFont="1" applyFill="1" applyBorder="1" applyAlignment="1">
      <alignment wrapText="1"/>
    </xf>
    <xf numFmtId="2" fontId="2" fillId="6" borderId="25" xfId="0" applyNumberFormat="1" applyFont="1" applyFill="1" applyBorder="1" applyAlignment="1">
      <alignment horizontal="center"/>
    </xf>
    <xf numFmtId="0" fontId="2" fillId="0" borderId="1" xfId="0" applyFont="1" applyFill="1" applyBorder="1" applyAlignment="1">
      <alignment horizontal="left"/>
    </xf>
    <xf numFmtId="0" fontId="21" fillId="8" borderId="14" xfId="0" applyFont="1" applyFill="1" applyBorder="1" applyAlignment="1">
      <alignment horizontal="left" vertical="center"/>
    </xf>
    <xf numFmtId="0" fontId="2" fillId="0" borderId="20" xfId="0" applyFont="1" applyFill="1" applyBorder="1" applyAlignment="1">
      <alignment horizontal="left"/>
    </xf>
    <xf numFmtId="0" fontId="13" fillId="0" borderId="0" xfId="0" applyFont="1" applyFill="1" applyAlignment="1">
      <alignment horizontal="left" wrapText="1"/>
    </xf>
    <xf numFmtId="0" fontId="9" fillId="0" borderId="62" xfId="0" applyFont="1" applyFill="1" applyBorder="1" applyAlignment="1">
      <alignment horizontal="left" wrapText="1"/>
    </xf>
    <xf numFmtId="0" fontId="2" fillId="0" borderId="48" xfId="0" applyFont="1" applyFill="1" applyBorder="1" applyAlignment="1">
      <alignment horizontal="right" wrapText="1"/>
    </xf>
    <xf numFmtId="0" fontId="2" fillId="0" borderId="36" xfId="0" applyFont="1" applyFill="1" applyBorder="1" applyAlignment="1">
      <alignment horizontal="right" wrapText="1"/>
    </xf>
    <xf numFmtId="0" fontId="2" fillId="0" borderId="21" xfId="0" applyFont="1" applyFill="1" applyBorder="1" applyAlignment="1">
      <alignment wrapText="1"/>
    </xf>
    <xf numFmtId="0" fontId="2" fillId="0" borderId="14" xfId="0" applyFont="1" applyFill="1" applyBorder="1" applyAlignment="1">
      <alignment horizontal="left" wrapText="1"/>
    </xf>
    <xf numFmtId="0" fontId="2" fillId="0" borderId="21" xfId="0" applyFont="1" applyFill="1" applyBorder="1" applyAlignment="1">
      <alignment horizontal="left" wrapText="1"/>
    </xf>
    <xf numFmtId="181" fontId="4" fillId="2" borderId="18" xfId="0" applyNumberFormat="1" applyFont="1" applyFill="1" applyBorder="1" applyAlignment="1">
      <alignment horizontal="center"/>
    </xf>
    <xf numFmtId="181" fontId="4" fillId="2" borderId="22" xfId="0" applyNumberFormat="1" applyFont="1" applyFill="1" applyBorder="1" applyAlignment="1">
      <alignment horizontal="center"/>
    </xf>
    <xf numFmtId="49" fontId="4" fillId="2" borderId="18" xfId="0" applyNumberFormat="1" applyFont="1" applyFill="1" applyBorder="1" applyAlignment="1">
      <alignment horizontal="center"/>
    </xf>
    <xf numFmtId="0" fontId="22" fillId="8" borderId="6" xfId="0" applyFont="1" applyFill="1" applyBorder="1" applyAlignment="1">
      <alignment horizontal="center" wrapText="1"/>
    </xf>
    <xf numFmtId="0" fontId="4" fillId="0" borderId="14" xfId="0" applyFont="1" applyFill="1" applyBorder="1" applyAlignment="1">
      <alignment horizontal="center"/>
    </xf>
    <xf numFmtId="0" fontId="23" fillId="0" borderId="18" xfId="0" applyFont="1" applyFill="1" applyBorder="1" applyAlignment="1">
      <alignment horizontal="center"/>
    </xf>
    <xf numFmtId="0" fontId="4" fillId="8" borderId="68" xfId="0" applyFont="1" applyFill="1" applyBorder="1" applyAlignment="1"/>
    <xf numFmtId="0" fontId="22" fillId="8" borderId="24" xfId="0" applyFont="1" applyFill="1" applyBorder="1" applyAlignment="1">
      <alignment horizontal="center" wrapText="1"/>
    </xf>
    <xf numFmtId="0" fontId="2" fillId="6" borderId="1" xfId="0" applyFont="1" applyFill="1" applyBorder="1" applyAlignment="1"/>
    <xf numFmtId="0" fontId="2" fillId="0" borderId="18" xfId="0" applyFont="1" applyFill="1" applyBorder="1" applyAlignment="1"/>
    <xf numFmtId="0" fontId="2" fillId="0" borderId="18" xfId="0" applyFont="1" applyFill="1" applyBorder="1" applyAlignment="1">
      <alignment horizontal="center"/>
    </xf>
    <xf numFmtId="0" fontId="2" fillId="0" borderId="12" xfId="0" applyFont="1" applyFill="1" applyBorder="1" applyAlignment="1"/>
    <xf numFmtId="0" fontId="4" fillId="6"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6" borderId="1" xfId="0" applyFont="1" applyFill="1" applyBorder="1" applyAlignment="1">
      <alignment horizontal="center" vertical="center"/>
    </xf>
    <xf numFmtId="0" fontId="4" fillId="2" borderId="1" xfId="0" applyFont="1" applyFill="1" applyBorder="1" applyAlignment="1">
      <alignment horizontal="center" vertical="center"/>
    </xf>
    <xf numFmtId="1" fontId="2" fillId="6" borderId="22" xfId="0" applyNumberFormat="1" applyFont="1" applyFill="1" applyBorder="1" applyAlignment="1">
      <alignment horizontal="center"/>
    </xf>
    <xf numFmtId="0" fontId="4" fillId="6" borderId="20" xfId="0" applyFont="1" applyFill="1" applyBorder="1" applyAlignment="1">
      <alignment horizontal="center" vertical="center"/>
    </xf>
    <xf numFmtId="0" fontId="4" fillId="2" borderId="20" xfId="0" applyFont="1" applyFill="1" applyBorder="1" applyAlignment="1">
      <alignment horizontal="center" vertical="center"/>
    </xf>
    <xf numFmtId="0" fontId="2" fillId="2" borderId="20" xfId="0" applyFont="1" applyFill="1" applyBorder="1" applyAlignment="1">
      <alignment horizontal="center" vertical="center"/>
    </xf>
    <xf numFmtId="1" fontId="2" fillId="0" borderId="28" xfId="0" applyNumberFormat="1" applyFont="1" applyFill="1" applyBorder="1" applyAlignment="1">
      <alignment horizontal="center"/>
    </xf>
    <xf numFmtId="0" fontId="4" fillId="0" borderId="28" xfId="0" applyFont="1" applyFill="1" applyBorder="1" applyAlignment="1">
      <alignment horizontal="center" vertical="center"/>
    </xf>
    <xf numFmtId="0" fontId="2" fillId="0" borderId="28" xfId="0" applyFont="1" applyFill="1" applyBorder="1" applyAlignment="1">
      <alignment horizontal="center" vertical="center"/>
    </xf>
    <xf numFmtId="1" fontId="2" fillId="0" borderId="0" xfId="0" applyNumberFormat="1" applyFont="1" applyFill="1" applyAlignment="1">
      <alignment horizontal="center"/>
    </xf>
    <xf numFmtId="1" fontId="4" fillId="8" borderId="25" xfId="0" applyNumberFormat="1" applyFont="1" applyFill="1" applyBorder="1" applyAlignment="1">
      <alignment horizontal="center" vertical="center"/>
    </xf>
    <xf numFmtId="0" fontId="9" fillId="0" borderId="5" xfId="0" applyFont="1" applyFill="1" applyBorder="1" applyAlignment="1">
      <alignment wrapText="1"/>
    </xf>
    <xf numFmtId="0" fontId="4" fillId="2" borderId="25" xfId="0" applyFont="1" applyFill="1" applyBorder="1" applyAlignment="1">
      <alignment horizontal="center" wrapText="1"/>
    </xf>
    <xf numFmtId="0" fontId="4" fillId="8" borderId="33" xfId="0" applyFont="1" applyFill="1" applyBorder="1" applyAlignment="1">
      <alignment horizontal="center"/>
    </xf>
    <xf numFmtId="1" fontId="4" fillId="2" borderId="18" xfId="0" applyNumberFormat="1" applyFont="1" applyFill="1" applyBorder="1" applyAlignment="1" quotePrefix="1">
      <alignment horizontal="center"/>
    </xf>
    <xf numFmtId="0" fontId="4" fillId="6" borderId="18" xfId="0" applyFont="1" applyFill="1" applyBorder="1" applyAlignment="1" quotePrefix="1">
      <alignment horizontal="center" wrapText="1"/>
    </xf>
  </cellXfs>
  <cellStyles count="51">
    <cellStyle name="Normalny" xfId="0" builtinId="0"/>
    <cellStyle name="Dziesiętny" xfId="1" builtinId="3"/>
    <cellStyle name="Walutowy" xfId="2" builtinId="4"/>
    <cellStyle name="Procentowy" xfId="3" builtinId="5"/>
    <cellStyle name="Przecinek [0]" xfId="4" builtinId="6"/>
    <cellStyle name="Waluta [0]" xfId="5" builtinId="7"/>
    <cellStyle name="Hiperłącze" xfId="6" builtinId="8"/>
    <cellStyle name="Użyte hiperłącze" xfId="7" builtinId="9"/>
    <cellStyle name="Uwaga" xfId="8" builtinId="10"/>
    <cellStyle name="Tekst ostrzeżenia" xfId="9" builtinId="11"/>
    <cellStyle name="Tytuł" xfId="10" builtinId="15"/>
    <cellStyle name="Tekst objaśnienia" xfId="11" builtinId="53"/>
    <cellStyle name="Nagłówek 1" xfId="12" builtinId="16"/>
    <cellStyle name="Nagłówek 2" xfId="13" builtinId="17"/>
    <cellStyle name="Nagłówek 3" xfId="14" builtinId="18"/>
    <cellStyle name="Nagłówek 4" xfId="15" builtinId="19"/>
    <cellStyle name="Dane wejściowe" xfId="16" builtinId="20"/>
    <cellStyle name="Dane wyjściowe" xfId="17" builtinId="21"/>
    <cellStyle name="Obliczenia" xfId="18" builtinId="22"/>
    <cellStyle name="Komórka zaznaczona" xfId="19" builtinId="23"/>
    <cellStyle name="Komórka połączona" xfId="20" builtinId="24"/>
    <cellStyle name="Suma" xfId="21" builtinId="25"/>
    <cellStyle name="Dobre" xfId="22" builtinId="26"/>
    <cellStyle name="Złe" xfId="23" builtinId="27"/>
    <cellStyle name="Neutralne" xfId="24" builtinId="28"/>
    <cellStyle name="Akcent 1" xfId="25" builtinId="29"/>
    <cellStyle name="20% - Akcent 1" xfId="26" builtinId="30"/>
    <cellStyle name="40% - Akcent 1" xfId="27" builtinId="31"/>
    <cellStyle name="60% - Akcent 1" xfId="28" builtinId="32"/>
    <cellStyle name="Akcent 2" xfId="29" builtinId="33"/>
    <cellStyle name="20% - Akcent 2" xfId="30" builtinId="34"/>
    <cellStyle name="40% - Akcent 2" xfId="31" builtinId="35"/>
    <cellStyle name="60% - Akcent 2" xfId="32" builtinId="36"/>
    <cellStyle name="Akcent 3" xfId="33" builtinId="37"/>
    <cellStyle name="20% - Akcent 3" xfId="34" builtinId="38"/>
    <cellStyle name="40% - Akcent 3" xfId="35" builtinId="39"/>
    <cellStyle name="60% - Akcent 3" xfId="36" builtinId="40"/>
    <cellStyle name="Akcent 4" xfId="37" builtinId="41"/>
    <cellStyle name="20% - Akcent 4" xfId="38" builtinId="42"/>
    <cellStyle name="40% - Akcent 4" xfId="39" builtinId="43"/>
    <cellStyle name="60% - Akcent 4" xfId="40" builtinId="44"/>
    <cellStyle name="Akcent 5" xfId="41" builtinId="45"/>
    <cellStyle name="20% - Akcent 5" xfId="42" builtinId="46"/>
    <cellStyle name="40% - Akcent 5" xfId="43" builtinId="47"/>
    <cellStyle name="60% - Akcent 5" xfId="44" builtinId="48"/>
    <cellStyle name="Akcent 6" xfId="45" builtinId="49"/>
    <cellStyle name="20% - Akcent 6" xfId="46" builtinId="50"/>
    <cellStyle name="40% - Akcent 6" xfId="47" builtinId="51"/>
    <cellStyle name="60% - Akcent 6" xfId="48" builtinId="52"/>
    <cellStyle name="Normal 10" xfId="49"/>
    <cellStyle name="Normal 2 10 2" xfId="50"/>
  </cellStyles>
  <dxfs count="19">
    <dxf>
      <fill>
        <patternFill patternType="solid">
          <bgColor rgb="FFFF0000"/>
        </patternFill>
      </fill>
    </dxf>
    <dxf>
      <fill>
        <patternFill patternType="solid">
          <bgColor rgb="FFCCCCF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externalLink" Target="externalLinks/externalLink1.xml"/><Relationship Id="rId2" Type="http://schemas.openxmlformats.org/officeDocument/2006/relationships/customXml" Target="../customXml/item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0</xdr:row>
      <xdr:rowOff>0</xdr:rowOff>
    </xdr:from>
    <xdr:to>
      <xdr:col>0</xdr:col>
      <xdr:colOff>795618</xdr:colOff>
      <xdr:row>1</xdr:row>
      <xdr:rowOff>33618</xdr:rowOff>
    </xdr:to>
    <xdr:sp macro="[1]!GO_TO_SHEET_Cliquer">
      <xdr:nvSpPr>
        <xdr:cNvPr id="2" name="ZoneTexte 1"/>
        <xdr:cNvSpPr txBox="1"/>
      </xdr:nvSpPr>
      <xdr:spPr>
        <a:xfrm>
          <a:off x="0" y="0"/>
          <a:ext cx="785495" cy="241300"/>
        </a:xfrm>
        <a:prstGeom prst="rect">
          <a:avLst/>
        </a:prstGeom>
        <a:solidFill>
          <a:schemeClr val="bg1"/>
        </a:solidFill>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defPPr>
            <a:defRPr lang="pl-PL">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fr-BE" sz="900"/>
            <a:t>Cockpit</a:t>
          </a:r>
          <a:endParaRPr lang="fr-BE" altLang="en-US" sz="900"/>
        </a:p>
      </xdr:txBody>
    </xdr:sp>
    <xdr:clientData/>
  </xdr:twoCellAnchor>
  <xdr:twoCellAnchor>
    <xdr:from>
      <xdr:col>4</xdr:col>
      <xdr:colOff>134470</xdr:colOff>
      <xdr:row>0</xdr:row>
      <xdr:rowOff>44823</xdr:rowOff>
    </xdr:from>
    <xdr:to>
      <xdr:col>4</xdr:col>
      <xdr:colOff>2196353</xdr:colOff>
      <xdr:row>1</xdr:row>
      <xdr:rowOff>100853</xdr:rowOff>
    </xdr:to>
    <xdr:sp>
      <xdr:nvSpPr>
        <xdr:cNvPr id="3" name="Rectangle 2"/>
        <xdr:cNvSpPr/>
      </xdr:nvSpPr>
      <xdr:spPr>
        <a:xfrm>
          <a:off x="8082915" y="44450"/>
          <a:ext cx="2061845" cy="264160"/>
        </a:xfrm>
        <a:prstGeom prst="rect">
          <a:avLst/>
        </a:prstGeom>
        <a:ln>
          <a:solidFill>
            <a:srgbClr val="FF0000"/>
          </a:solidFill>
        </a:ln>
      </xdr:spPr>
      <xdr:style>
        <a:lnRef idx="2">
          <a:schemeClr val="accent2"/>
        </a:lnRef>
        <a:fillRef idx="1">
          <a:schemeClr val="lt1"/>
        </a:fillRef>
        <a:effectRef idx="0">
          <a:schemeClr val="accent2"/>
        </a:effectRef>
        <a:fontRef idx="minor">
          <a:schemeClr val="dk1"/>
        </a:fontRef>
      </xdr:style>
      <xdr:txBody>
        <a:bodyPr vertOverflow="clip" horzOverflow="clip" lIns="36000" tIns="0" rIns="36000" bIns="0" rtlCol="0" anchor="ctr" anchorCtr="1"/>
        <a:lstStyle>
          <a:defPPr>
            <a:defRPr lang="pl-PL">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r>
            <a:rPr lang="en-GB" sz="1100" b="1">
              <a:solidFill>
                <a:srgbClr val="FF0000"/>
              </a:solidFill>
            </a:rPr>
            <a:t>DO</a:t>
          </a:r>
          <a:r>
            <a:rPr lang="en-GB" sz="1100" b="1" baseline="0">
              <a:solidFill>
                <a:srgbClr val="FF0000"/>
              </a:solidFill>
            </a:rPr>
            <a:t> NOT modify the cell color</a:t>
          </a:r>
          <a:endParaRPr lang="en-GB" altLang="en-US" sz="1100" b="1">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E18-ALS-DES-D000-ATC-D00058-00001_20260224_Step7%20(1).xlsm"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Cockpit"/>
      <sheetName val="Revision history"/>
      <sheetName val="Design Deviations from STD"/>
      <sheetName val="REF"/>
      <sheetName val="CustomerData"/>
      <sheetName val="XML_Reader"/>
      <sheetName val="Design_choices"/>
      <sheetName val="Vehicle_description"/>
      <sheetName val="System_interface_description"/>
      <sheetName val="MVB.ProcessData"/>
      <sheetName val="Comm. Config. Overview"/>
      <sheetName val="Fixed_Parameters"/>
      <sheetName val="Default_Parameters"/>
      <sheetName val="Train type"/>
      <sheetName val="Project"/>
      <sheetName val="INAT Train type STM"/>
      <sheetName val="Dynamic train data set"/>
      <sheetName val="Fixed train data set"/>
      <sheetName val="SINGS_WINGS COMPUTATION"/>
      <sheetName val="IMU"/>
      <sheetName val="EB decel. models"/>
      <sheetName val="SB decel. models"/>
      <sheetName val="Normal SB model"/>
      <sheetName val="Test Train type funct."/>
      <sheetName val="Communication config."/>
      <sheetName val="Communication_eqpt_def"/>
      <sheetName val="Test Cabling config"/>
      <sheetName val="Test Default Outputs"/>
      <sheetName val="Default_Default_Outputs"/>
      <sheetName val="Test Binary Outputs"/>
      <sheetName val="Default_Test Binary Outputs"/>
      <sheetName val="Test Generic Outputs_TBL1P"/>
      <sheetName val="Default_TBL1P_Outputs"/>
      <sheetName val="Test Generic Outputs_INAT"/>
      <sheetName val="Default_INAT_Outputs"/>
      <sheetName val="Test Generic Outputs_ATC2"/>
      <sheetName val="Default_ATC2_Outputs"/>
      <sheetName val="Test Generic Outputs_SCMT"/>
      <sheetName val="Default_SCMT_Outputs"/>
      <sheetName val="Test Generic Outputs_ROUTER"/>
      <sheetName val="Test Generic Outputs_ERTMS"/>
      <sheetName val="Default_ERTMS_Outputs"/>
      <sheetName val="Test Generic Numeric Outputs"/>
      <sheetName val="Default_numeric_outputs"/>
      <sheetName val="Test Generic Stream Outputs"/>
      <sheetName val="Default_stream_outputs"/>
      <sheetName val="Test Binary Inputs"/>
      <sheetName val="Default_Test Binary Inputs"/>
      <sheetName val="Test Generic Inputs_TBL1P"/>
      <sheetName val="Default_TBL1P_Inputs"/>
      <sheetName val="Test Generic Inputs_INAT"/>
      <sheetName val="Default_INAT_Inputs"/>
      <sheetName val="Test Generic Inputs_ATC2"/>
      <sheetName val="Default_ATC2_Inputs"/>
      <sheetName val="Test Generic Inputs_SCMT"/>
      <sheetName val="Default_SCMT_Inputs"/>
      <sheetName val="Test Generic Inputs_ROUTER"/>
      <sheetName val="Default_Routers"/>
      <sheetName val="Test Generic Inputs_ERTMS"/>
      <sheetName val="Default_ERTMS_Inputs"/>
      <sheetName val="Test Generic Numeric Inputs"/>
      <sheetName val="Default_numeric_inputs"/>
      <sheetName val="Test Generic Stream Inputs"/>
      <sheetName val="Default_stream_inputs"/>
      <sheetName val="test MVB Outputs"/>
      <sheetName val="Default_MVB_out"/>
      <sheetName val="test MVB Inputs"/>
      <sheetName val="test OBU_telegram_outputs"/>
      <sheetName val="test IO_to_monitor"/>
      <sheetName val="Monitoring_list"/>
      <sheetName val="CAN_MVB"/>
      <sheetName val="Default_CAN_MVB"/>
      <sheetName val="Development"/>
      <sheetName val="RTMV2"/>
      <sheetName val="COMET"/>
      <sheetName val="CORE SIL0"/>
      <sheetName val="Hardware plug"/>
      <sheetName val="TIU_SIL0_TBL1P_NG"/>
      <sheetName val="ATC2"/>
      <sheetName val="Passive Rules Check"/>
      <sheetName val="IO_listing"/>
      <sheetName val="Verify_Import_XML"/>
    </sheetNames>
    <definedNames>
      <definedName name="GO_TO_SHEET_Cliquer"/>
    </definedNames>
    <sheetDataSet>
      <sheetData sheetId="0"/>
      <sheetData sheetId="1"/>
      <sheetData sheetId="2"/>
      <sheetData sheetId="3"/>
      <sheetData sheetId="4"/>
      <sheetData sheetId="5"/>
      <sheetData sheetId="6"/>
      <sheetData sheetId="7"/>
      <sheetData sheetId="8"/>
      <sheetData sheetId="9"/>
      <sheetData sheetId="10"/>
      <sheetData sheetId="11"/>
      <sheetData sheetId="12">
        <row r="669">
          <cell r="C669">
            <v>0</v>
          </cell>
        </row>
      </sheetData>
      <sheetData sheetId="13"/>
      <sheetData sheetId="14"/>
      <sheetData sheetId="15">
        <row r="16">
          <cell r="F16" t="e">
            <v>#NAME?</v>
          </cell>
          <cell r="G16" t="e">
            <v>#NAME?</v>
          </cell>
          <cell r="H16" t="e">
            <v>#NAME?</v>
          </cell>
          <cell r="I16" t="e">
            <v>#NAME?</v>
          </cell>
          <cell r="J16" t="e">
            <v>#NAME?</v>
          </cell>
          <cell r="K16" t="e">
            <v>#NAME?</v>
          </cell>
          <cell r="L16" t="e">
            <v>#NAME?</v>
          </cell>
          <cell r="M16" t="e">
            <v>#NAME?</v>
          </cell>
        </row>
        <row r="17">
          <cell r="F17" t="e">
            <v>#NAME?</v>
          </cell>
          <cell r="G17" t="e">
            <v>#NAME?</v>
          </cell>
          <cell r="H17" t="e">
            <v>#NAME?</v>
          </cell>
          <cell r="I17" t="e">
            <v>#NAME?</v>
          </cell>
          <cell r="J17" t="e">
            <v>#NAME?</v>
          </cell>
          <cell r="K17" t="e">
            <v>#NAME?</v>
          </cell>
          <cell r="L17" t="e">
            <v>#NAME?</v>
          </cell>
          <cell r="M17" t="e">
            <v>#NAME?</v>
          </cell>
        </row>
        <row r="18">
          <cell r="F18" t="e">
            <v>#NAME?</v>
          </cell>
          <cell r="G18" t="e">
            <v>#NAME?</v>
          </cell>
          <cell r="H18" t="e">
            <v>#NAME?</v>
          </cell>
          <cell r="I18" t="e">
            <v>#NAME?</v>
          </cell>
          <cell r="J18" t="e">
            <v>#NAME?</v>
          </cell>
          <cell r="K18" t="e">
            <v>#NAME?</v>
          </cell>
          <cell r="L18" t="e">
            <v>#NAME?</v>
          </cell>
          <cell r="M18" t="e">
            <v>#NAME?</v>
          </cell>
        </row>
        <row r="19">
          <cell r="F19" t="e">
            <v>#NAME?</v>
          </cell>
          <cell r="G19" t="e">
            <v>#NAME?</v>
          </cell>
          <cell r="H19" t="e">
            <v>#NAME?</v>
          </cell>
          <cell r="I19" t="e">
            <v>#NAME?</v>
          </cell>
          <cell r="J19" t="e">
            <v>#NAME?</v>
          </cell>
          <cell r="K19" t="e">
            <v>#NAME?</v>
          </cell>
          <cell r="L19" t="e">
            <v>#NAME?</v>
          </cell>
          <cell r="M19" t="e">
            <v>#NAME?</v>
          </cell>
        </row>
        <row r="20">
          <cell r="F20" t="e">
            <v>#NAME?</v>
          </cell>
          <cell r="G20" t="e">
            <v>#NAME?</v>
          </cell>
          <cell r="H20" t="e">
            <v>#NAME?</v>
          </cell>
          <cell r="I20" t="e">
            <v>#NAME?</v>
          </cell>
          <cell r="J20" t="e">
            <v>#NAME?</v>
          </cell>
          <cell r="K20" t="e">
            <v>#NAME?</v>
          </cell>
          <cell r="L20" t="e">
            <v>#NAME?</v>
          </cell>
          <cell r="M20" t="e">
            <v>#NAME?</v>
          </cell>
        </row>
        <row r="21">
          <cell r="F21" t="e">
            <v>#NAME?</v>
          </cell>
          <cell r="G21" t="e">
            <v>#NAME?</v>
          </cell>
          <cell r="H21" t="e">
            <v>#NAME?</v>
          </cell>
          <cell r="I21" t="e">
            <v>#NAME?</v>
          </cell>
          <cell r="J21" t="e">
            <v>#NAME?</v>
          </cell>
          <cell r="K21" t="e">
            <v>#NAME?</v>
          </cell>
          <cell r="L21" t="e">
            <v>#NAME?</v>
          </cell>
          <cell r="M21" t="e">
            <v>#NAME?</v>
          </cell>
        </row>
        <row r="22">
          <cell r="F22" t="e">
            <v>#NAME?</v>
          </cell>
          <cell r="G22" t="e">
            <v>#NAME?</v>
          </cell>
          <cell r="H22" t="e">
            <v>#NAME?</v>
          </cell>
          <cell r="I22" t="e">
            <v>#NAME?</v>
          </cell>
          <cell r="J22" t="e">
            <v>#NAME?</v>
          </cell>
          <cell r="K22" t="e">
            <v>#NAME?</v>
          </cell>
          <cell r="L22" t="e">
            <v>#NAME?</v>
          </cell>
          <cell r="M22" t="e">
            <v>#NAME?</v>
          </cell>
        </row>
        <row r="23">
          <cell r="F23">
            <v>1</v>
          </cell>
          <cell r="G23">
            <v>2</v>
          </cell>
          <cell r="H23">
            <v>3</v>
          </cell>
          <cell r="I23">
            <v>4</v>
          </cell>
          <cell r="J23">
            <v>5</v>
          </cell>
          <cell r="K23">
            <v>6</v>
          </cell>
          <cell r="L23">
            <v>7</v>
          </cell>
          <cell r="M23">
            <v>8</v>
          </cell>
        </row>
      </sheetData>
      <sheetData sheetId="16"/>
      <sheetData sheetId="17"/>
      <sheetData sheetId="18"/>
      <sheetData sheetId="19"/>
      <sheetData sheetId="20"/>
      <sheetData sheetId="21"/>
      <sheetData sheetId="22"/>
      <sheetData sheetId="23"/>
      <sheetData sheetId="24">
        <row r="10">
          <cell r="E10">
            <v>7</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BQ1012"/>
  <sheetViews>
    <sheetView tabSelected="1" zoomScale="85" zoomScaleNormal="85" workbookViewId="0">
      <selection activeCell="D895" sqref="D895"/>
    </sheetView>
  </sheetViews>
  <sheetFormatPr defaultColWidth="11.4537037037037" defaultRowHeight="13.2"/>
  <cols>
    <col min="1" max="1" width="11.4537037037037" style="1" customWidth="1"/>
    <col min="2" max="2" width="43.5462962962963" style="2" customWidth="1"/>
    <col min="3" max="3" width="13.4537037037037" style="3" customWidth="1"/>
    <col min="4" max="4" width="47.4537037037037" style="2" customWidth="1"/>
    <col min="5" max="5" width="34.5462962962963" style="2" customWidth="1"/>
    <col min="6" max="6" width="28.5462962962963" style="2" customWidth="1"/>
    <col min="7" max="7" width="30.5462962962963" style="2" customWidth="1"/>
    <col min="8" max="8" width="35.5462962962963" style="2" customWidth="1"/>
    <col min="9" max="37" width="25.5462962962963" style="2" customWidth="1"/>
    <col min="38" max="38" width="3.5462962962963" style="2" customWidth="1"/>
    <col min="39" max="16384" width="11.4537037037037" style="2"/>
  </cols>
  <sheetData>
    <row r="1" ht="16.4" customHeight="1" spans="1:8">
      <c r="C1" s="4" t="s">
        <v>0</v>
      </c>
      <c r="F1" s="5" t="s">
        <v>1</v>
      </c>
      <c r="G1" s="6" t="s">
        <v>2</v>
      </c>
      <c r="H1" s="7" t="s">
        <v>3</v>
      </c>
    </row>
    <row r="2" ht="16.4" customHeight="1" spans="1:8">
      <c r="F2" s="8" t="s">
        <v>4</v>
      </c>
      <c r="G2" s="9" t="s">
        <v>5</v>
      </c>
      <c r="H2" s="10" t="s">
        <v>6</v>
      </c>
    </row>
    <row r="3" ht="16.4" customHeight="1" spans="1:8">
      <c r="B3" s="11" t="s">
        <v>7</v>
      </c>
      <c r="C3" s="11" t="s">
        <v>8</v>
      </c>
      <c r="D3" s="11" t="s">
        <v>9</v>
      </c>
      <c r="E3" s="12" t="s">
        <v>10</v>
      </c>
      <c r="G3" s="13" t="s">
        <v>11</v>
      </c>
      <c r="H3" s="14" t="s">
        <v>12</v>
      </c>
    </row>
    <row r="4" ht="16.4" customHeight="1" spans="1:8">
      <c r="A4" s="15"/>
      <c r="B4" s="16"/>
      <c r="C4" s="17"/>
      <c r="D4" s="16"/>
    </row>
    <row r="5" ht="16.4" customHeight="1" spans="1:8">
      <c r="A5" s="1" t="s">
        <v>13</v>
      </c>
      <c r="C5" s="18" t="s">
        <v>14</v>
      </c>
      <c r="D5" s="16"/>
    </row>
    <row r="6" ht="16.4" customHeight="1" spans="1:8">
      <c r="A6" s="15"/>
      <c r="B6" s="16"/>
      <c r="C6" s="17"/>
      <c r="D6" s="16"/>
    </row>
    <row r="7" ht="16.4" customHeight="1" spans="1:8">
      <c r="A7" s="1" t="s">
        <v>13</v>
      </c>
      <c r="B7" s="19" t="s">
        <v>15</v>
      </c>
    </row>
    <row r="8" ht="16.4" customHeight="1" spans="1:8">
      <c r="A8" s="15"/>
      <c r="B8" s="19"/>
    </row>
    <row r="9" ht="16.4" customHeight="1" spans="1:8">
      <c r="A9" s="1" t="s">
        <v>13</v>
      </c>
      <c r="B9" s="20"/>
      <c r="C9" s="21"/>
      <c r="D9" s="22" t="s">
        <v>16</v>
      </c>
      <c r="E9" s="23" t="e" cm="1">
        <f t="array" ref="E9">dc(58)</f>
        <v>#NAME?</v>
      </c>
    </row>
    <row r="10" ht="16.4" customHeight="1" spans="1:8">
      <c r="A10" s="15"/>
      <c r="B10" s="16"/>
      <c r="C10" s="17"/>
      <c r="D10" s="16"/>
    </row>
    <row r="11" ht="16.4" customHeight="1" spans="1:8">
      <c r="A11" s="15"/>
      <c r="B11" s="24" t="s">
        <v>17</v>
      </c>
      <c r="C11" s="25">
        <v>5000000</v>
      </c>
      <c r="D11" s="26" t="s">
        <v>18</v>
      </c>
      <c r="E11" s="23" t="e" cm="1">
        <f t="array" ref="E11">dc(58)</f>
        <v>#NAME?</v>
      </c>
    </row>
    <row r="12" ht="16.4" customHeight="1" spans="1:8">
      <c r="A12" s="27"/>
      <c r="B12" s="16"/>
      <c r="C12" s="17"/>
      <c r="D12" s="16"/>
    </row>
    <row r="13" ht="16.4" customHeight="1" spans="1:8">
      <c r="A13" s="27"/>
      <c r="B13" s="28" t="s">
        <v>19</v>
      </c>
      <c r="C13" s="29">
        <v>6040015</v>
      </c>
      <c r="D13" s="30" t="s">
        <v>20</v>
      </c>
      <c r="E13" s="31" t="e" cm="1">
        <f t="array" ref="E13">Fixed_Param(116,1)</f>
        <v>#NAME?</v>
      </c>
    </row>
    <row r="14" ht="16.4" customHeight="1" spans="1:8">
      <c r="A14" s="1" t="s">
        <v>13</v>
      </c>
      <c r="B14" s="32" t="s">
        <v>21</v>
      </c>
      <c r="C14" s="33"/>
      <c r="D14" s="34"/>
      <c r="E14" s="35">
        <v>1</v>
      </c>
      <c r="F14" s="36">
        <v>2</v>
      </c>
    </row>
    <row r="15" ht="16.4" customHeight="1" spans="1:8">
      <c r="A15" s="1" t="s">
        <v>22</v>
      </c>
      <c r="B15" s="37" t="s">
        <v>23</v>
      </c>
      <c r="C15" s="38" t="s">
        <v>24</v>
      </c>
      <c r="D15" s="39" t="s">
        <v>25</v>
      </c>
      <c r="E15" s="40" t="e" cm="1">
        <f t="array" ref="E15">Fixed_Param(111,1)</f>
        <v>#NAME?</v>
      </c>
      <c r="F15" s="40" t="e" cm="1">
        <f t="array" ref="F15">Fixed_Param(111,2)</f>
        <v>#NAME?</v>
      </c>
    </row>
    <row r="16" ht="16.4" customHeight="1" spans="1:8">
      <c r="A16" s="1" t="s">
        <v>26</v>
      </c>
      <c r="B16" s="41" t="s">
        <v>27</v>
      </c>
      <c r="C16" s="42">
        <v>6030015</v>
      </c>
      <c r="D16" s="43" t="s">
        <v>28</v>
      </c>
      <c r="E16" s="40" t="e" cm="1">
        <f t="array" ref="E16">Fixed_Param(110,1)</f>
        <v>#NAME?</v>
      </c>
      <c r="F16" s="44"/>
    </row>
    <row r="17" ht="16.4" customHeight="1" spans="1:36">
      <c r="A17" s="1" t="s">
        <v>29</v>
      </c>
      <c r="B17" s="45" t="s">
        <v>30</v>
      </c>
      <c r="C17" s="35">
        <v>6050020</v>
      </c>
      <c r="D17" s="46" t="s">
        <v>31</v>
      </c>
      <c r="E17" s="9" t="e" cm="1">
        <f t="array" ref="E17">IF(VD(52)="ETH_SIL2",VD(54),"FALSE")</f>
        <v>#NAME?</v>
      </c>
      <c r="F17" s="47"/>
    </row>
    <row r="18" ht="16.4" customHeight="1" spans="1:36">
      <c r="A18" s="1" t="s">
        <v>32</v>
      </c>
      <c r="B18" s="48" t="s">
        <v>33</v>
      </c>
      <c r="C18" s="49">
        <v>6050010</v>
      </c>
      <c r="D18" s="50" t="s">
        <v>34</v>
      </c>
      <c r="E18" s="51">
        <v>1234</v>
      </c>
      <c r="F18" s="52"/>
    </row>
    <row r="19" ht="16.4" customHeight="1" spans="1:36">
      <c r="A19" s="1" t="s">
        <v>35</v>
      </c>
    </row>
    <row r="20" ht="16.4" customHeight="1" spans="1:36">
      <c r="A20" s="15"/>
      <c r="B20" s="53" t="s">
        <v>24</v>
      </c>
      <c r="C20" s="54"/>
      <c r="D20" s="55" t="s">
        <v>36</v>
      </c>
      <c r="E20" s="56">
        <v>1751899131</v>
      </c>
      <c r="F20" s="57"/>
    </row>
    <row r="21" ht="16.4" customHeight="1" spans="1:36">
      <c r="A21" s="15"/>
      <c r="B21" s="41"/>
      <c r="C21" s="42"/>
      <c r="D21" s="34" t="s">
        <v>37</v>
      </c>
      <c r="E21" s="58">
        <v>1751899132</v>
      </c>
    </row>
    <row r="22" ht="16.4" customHeight="1" spans="1:36">
      <c r="B22" s="48"/>
      <c r="C22" s="59"/>
      <c r="D22" s="34" t="s">
        <v>38</v>
      </c>
      <c r="E22" s="58">
        <v>1751899133</v>
      </c>
    </row>
    <row r="23" ht="16.4" customHeight="1" spans="1:36">
      <c r="D23" s="60" t="s">
        <v>39</v>
      </c>
      <c r="E23" s="58">
        <v>1751899134</v>
      </c>
    </row>
    <row r="24" ht="16.4" customHeight="1" spans="1:36">
      <c r="D24" s="61" t="s">
        <v>40</v>
      </c>
      <c r="E24" s="62">
        <v>1751899137</v>
      </c>
    </row>
    <row r="25" ht="16.4" customHeight="1" spans="1:36">
      <c r="D25" s="16"/>
    </row>
    <row r="26" ht="16.4" customHeight="1" spans="1:36">
      <c r="A26" s="1" t="s">
        <v>13</v>
      </c>
      <c r="C26" s="18" t="s">
        <v>41</v>
      </c>
      <c r="D26" s="16"/>
    </row>
    <row r="27" ht="16.4" customHeight="1" spans="1:36">
      <c r="C27" s="18"/>
      <c r="D27" s="16"/>
    </row>
    <row r="28" ht="16.4" customHeight="1" spans="1:36">
      <c r="A28" s="1" t="s">
        <v>13</v>
      </c>
      <c r="B28" s="19"/>
      <c r="C28" s="18" t="s">
        <v>42</v>
      </c>
    </row>
    <row r="29" ht="16.4" customHeight="1" spans="1:36">
      <c r="A29" s="15"/>
      <c r="B29" s="63"/>
      <c r="C29" s="17"/>
      <c r="D29" s="16"/>
      <c r="E29" s="64"/>
    </row>
    <row r="30" ht="16.4" customHeight="1" spans="1:36">
      <c r="A30" s="1" t="s">
        <v>43</v>
      </c>
      <c r="B30" s="65" t="s">
        <v>44</v>
      </c>
      <c r="C30" s="66"/>
      <c r="D30" s="67"/>
      <c r="E30" s="68"/>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row>
    <row r="31" ht="16.4" customHeight="1" spans="1:36">
      <c r="A31" s="1" t="s">
        <v>43</v>
      </c>
      <c r="B31" s="69" t="s">
        <v>45</v>
      </c>
      <c r="C31" s="70"/>
      <c r="D31" s="71"/>
      <c r="E31" s="72"/>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row>
    <row r="32" ht="16.4" customHeight="1" spans="1:36">
      <c r="A32" s="1" t="s">
        <v>43</v>
      </c>
      <c r="B32" s="73" t="s">
        <v>46</v>
      </c>
      <c r="C32" s="74">
        <v>4010010</v>
      </c>
      <c r="D32" s="55" t="s">
        <v>47</v>
      </c>
      <c r="E32" s="75" t="e" cm="1">
        <f t="array" ref="E32">IF(ID(9)="Used","TRUE","FALSE")</f>
        <v>#NAME?</v>
      </c>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row>
    <row r="33" ht="16.4" customHeight="1" spans="1:36">
      <c r="A33" s="1" t="s">
        <v>48</v>
      </c>
      <c r="B33" s="76" t="s">
        <v>49</v>
      </c>
      <c r="C33" s="77">
        <v>4210310</v>
      </c>
      <c r="D33" s="34" t="s">
        <v>50</v>
      </c>
      <c r="E33" s="78" t="e" cm="1">
        <f t="array" ref="E33">Fixed_Param(195,1)</f>
        <v>#NAME?</v>
      </c>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row>
    <row r="34" ht="16.4" customHeight="1" spans="1:36">
      <c r="A34" s="1" t="s">
        <v>43</v>
      </c>
      <c r="B34" s="60" t="s">
        <v>51</v>
      </c>
      <c r="C34" s="42">
        <v>4010070</v>
      </c>
      <c r="D34" s="34" t="s">
        <v>52</v>
      </c>
      <c r="E34" s="79" t="e" cm="1">
        <f t="array" ref="E34">VD(46)</f>
        <v>#NAME?</v>
      </c>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row>
    <row r="35" ht="16.4" customHeight="1" spans="1:36">
      <c r="A35" s="1" t="s">
        <v>43</v>
      </c>
      <c r="B35" s="80" t="s">
        <v>53</v>
      </c>
      <c r="C35" s="81"/>
      <c r="D35" s="82" t="s">
        <v>54</v>
      </c>
      <c r="E35" s="83"/>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row>
    <row r="36" ht="16.4" customHeight="1" spans="1:36">
      <c r="A36" s="1" t="s">
        <v>43</v>
      </c>
      <c r="B36" s="37"/>
      <c r="C36" s="81"/>
      <c r="D36" s="39" t="s">
        <v>55</v>
      </c>
      <c r="E36" s="84">
        <f>COUNTIF(F38:AJ38,"&lt;&gt;-")</f>
        <v>8</v>
      </c>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row>
    <row r="37" ht="16.4" customHeight="1" spans="1:36">
      <c r="A37" s="1" t="s">
        <v>43</v>
      </c>
      <c r="B37" s="85" t="s">
        <v>56</v>
      </c>
      <c r="C37" s="86"/>
      <c r="D37" s="87"/>
      <c r="E37" s="88"/>
      <c r="F37" s="89">
        <v>1</v>
      </c>
      <c r="G37" s="90">
        <v>2</v>
      </c>
      <c r="H37" s="90">
        <v>3</v>
      </c>
      <c r="I37" s="90">
        <v>4</v>
      </c>
      <c r="J37" s="90">
        <v>5</v>
      </c>
      <c r="K37" s="90">
        <v>6</v>
      </c>
      <c r="L37" s="90">
        <v>7</v>
      </c>
      <c r="M37" s="90">
        <v>8</v>
      </c>
      <c r="N37" s="90">
        <v>9</v>
      </c>
      <c r="O37" s="90">
        <v>10</v>
      </c>
      <c r="P37" s="90">
        <v>11</v>
      </c>
      <c r="Q37" s="90">
        <v>12</v>
      </c>
      <c r="R37" s="90">
        <v>13</v>
      </c>
      <c r="S37" s="90">
        <v>14</v>
      </c>
      <c r="T37" s="90">
        <v>15</v>
      </c>
      <c r="U37" s="90">
        <v>16</v>
      </c>
      <c r="V37" s="90">
        <v>17</v>
      </c>
      <c r="W37" s="90">
        <v>18</v>
      </c>
      <c r="X37" s="90">
        <v>19</v>
      </c>
      <c r="Y37" s="90">
        <v>20</v>
      </c>
      <c r="Z37" s="90">
        <v>21</v>
      </c>
      <c r="AA37" s="90">
        <v>22</v>
      </c>
      <c r="AB37" s="90">
        <v>23</v>
      </c>
      <c r="AC37" s="90">
        <v>24</v>
      </c>
      <c r="AD37" s="90">
        <v>25</v>
      </c>
      <c r="AE37" s="90">
        <v>26</v>
      </c>
      <c r="AF37" s="90">
        <v>27</v>
      </c>
      <c r="AG37" s="90">
        <v>28</v>
      </c>
      <c r="AH37" s="90">
        <v>29</v>
      </c>
      <c r="AI37" s="90">
        <v>30</v>
      </c>
      <c r="AJ37" s="91">
        <v>31</v>
      </c>
    </row>
    <row r="38" ht="16.4" customHeight="1" spans="1:36">
      <c r="A38" s="1" t="s">
        <v>43</v>
      </c>
      <c r="B38" s="85" t="s">
        <v>57</v>
      </c>
      <c r="C38" s="86">
        <v>3010150</v>
      </c>
      <c r="D38" s="87" t="s">
        <v>58</v>
      </c>
      <c r="E38" s="92"/>
      <c r="F38" s="93" t="s">
        <v>59</v>
      </c>
      <c r="G38" s="93" t="s">
        <v>60</v>
      </c>
      <c r="H38" s="94" t="s">
        <v>60</v>
      </c>
      <c r="I38" s="94" t="s">
        <v>60</v>
      </c>
      <c r="J38" s="94" t="s">
        <v>60</v>
      </c>
      <c r="K38" s="94" t="s">
        <v>60</v>
      </c>
      <c r="L38" s="94" t="s">
        <v>60</v>
      </c>
      <c r="M38" s="94" t="s">
        <v>60</v>
      </c>
      <c r="N38" s="94" t="s">
        <v>61</v>
      </c>
      <c r="O38" s="94" t="s">
        <v>61</v>
      </c>
      <c r="P38" s="94" t="s">
        <v>61</v>
      </c>
      <c r="Q38" s="94" t="s">
        <v>61</v>
      </c>
      <c r="R38" s="94" t="s">
        <v>61</v>
      </c>
      <c r="S38" s="94" t="s">
        <v>61</v>
      </c>
      <c r="T38" s="94" t="s">
        <v>61</v>
      </c>
      <c r="U38" s="94" t="s">
        <v>61</v>
      </c>
      <c r="V38" s="94" t="s">
        <v>61</v>
      </c>
      <c r="W38" s="94" t="s">
        <v>61</v>
      </c>
      <c r="X38" s="94" t="s">
        <v>61</v>
      </c>
      <c r="Y38" s="94" t="s">
        <v>61</v>
      </c>
      <c r="Z38" s="94" t="s">
        <v>61</v>
      </c>
      <c r="AA38" s="94" t="s">
        <v>61</v>
      </c>
      <c r="AB38" s="94" t="s">
        <v>61</v>
      </c>
      <c r="AC38" s="94" t="s">
        <v>61</v>
      </c>
      <c r="AD38" s="94" t="s">
        <v>61</v>
      </c>
      <c r="AE38" s="94" t="s">
        <v>61</v>
      </c>
      <c r="AF38" s="94" t="s">
        <v>61</v>
      </c>
      <c r="AG38" s="94" t="s">
        <v>61</v>
      </c>
      <c r="AH38" s="94" t="s">
        <v>61</v>
      </c>
      <c r="AI38" s="94" t="s">
        <v>61</v>
      </c>
      <c r="AJ38" s="95" t="s">
        <v>61</v>
      </c>
    </row>
    <row r="39" ht="16.4" customHeight="1" spans="1:36">
      <c r="A39" s="1" t="s">
        <v>43</v>
      </c>
      <c r="B39" s="48"/>
      <c r="C39" s="49">
        <v>3010160</v>
      </c>
      <c r="D39" s="96" t="s">
        <v>62</v>
      </c>
      <c r="E39" s="97"/>
      <c r="F39" s="98">
        <v>0</v>
      </c>
      <c r="G39" s="98">
        <v>30</v>
      </c>
      <c r="H39" s="98">
        <v>31</v>
      </c>
      <c r="I39" s="98">
        <v>32</v>
      </c>
      <c r="J39" s="98">
        <v>33</v>
      </c>
      <c r="K39" s="98">
        <v>34</v>
      </c>
      <c r="L39" s="99">
        <v>35</v>
      </c>
      <c r="M39" s="99">
        <v>40</v>
      </c>
      <c r="N39" s="99" t="s">
        <v>61</v>
      </c>
      <c r="O39" s="99" t="s">
        <v>61</v>
      </c>
      <c r="P39" s="99" t="s">
        <v>61</v>
      </c>
      <c r="Q39" s="99" t="s">
        <v>61</v>
      </c>
      <c r="R39" s="99" t="s">
        <v>61</v>
      </c>
      <c r="S39" s="99" t="s">
        <v>61</v>
      </c>
      <c r="T39" s="99" t="s">
        <v>61</v>
      </c>
      <c r="U39" s="99" t="s">
        <v>61</v>
      </c>
      <c r="V39" s="99" t="s">
        <v>61</v>
      </c>
      <c r="W39" s="99" t="s">
        <v>61</v>
      </c>
      <c r="X39" s="99" t="s">
        <v>61</v>
      </c>
      <c r="Y39" s="99" t="s">
        <v>61</v>
      </c>
      <c r="Z39" s="99" t="s">
        <v>61</v>
      </c>
      <c r="AA39" s="99" t="s">
        <v>61</v>
      </c>
      <c r="AB39" s="99" t="s">
        <v>61</v>
      </c>
      <c r="AC39" s="99" t="s">
        <v>61</v>
      </c>
      <c r="AD39" s="99" t="s">
        <v>61</v>
      </c>
      <c r="AE39" s="99" t="s">
        <v>61</v>
      </c>
      <c r="AF39" s="99" t="s">
        <v>61</v>
      </c>
      <c r="AG39" s="99" t="s">
        <v>61</v>
      </c>
      <c r="AH39" s="99" t="s">
        <v>61</v>
      </c>
      <c r="AI39" s="99" t="s">
        <v>61</v>
      </c>
      <c r="AJ39" s="100" t="s">
        <v>61</v>
      </c>
    </row>
    <row r="40" ht="16.4" customHeight="1" spans="1:36">
      <c r="A40" s="15"/>
      <c r="B40" s="63"/>
      <c r="C40" s="17"/>
      <c r="D40" s="16"/>
      <c r="E40" s="101"/>
    </row>
    <row r="41" ht="16.4" customHeight="1" spans="1:36">
      <c r="A41" s="15"/>
      <c r="B41" s="65" t="s">
        <v>63</v>
      </c>
      <c r="C41" s="66"/>
      <c r="D41" s="102"/>
      <c r="E41" s="68"/>
    </row>
    <row r="42" ht="16.4" customHeight="1" spans="1:36">
      <c r="A42" s="15"/>
      <c r="B42" s="69" t="s">
        <v>64</v>
      </c>
      <c r="C42" s="70"/>
      <c r="D42" s="103"/>
      <c r="E42" s="72"/>
    </row>
    <row r="43" ht="16.4" customHeight="1" spans="1:36">
      <c r="A43" s="15"/>
      <c r="B43" s="104" t="s">
        <v>65</v>
      </c>
      <c r="C43" s="105" t="s">
        <v>66</v>
      </c>
      <c r="D43" s="106" t="s">
        <v>67</v>
      </c>
      <c r="E43" s="107"/>
    </row>
    <row r="44" ht="16.4" customHeight="1" spans="1:36">
      <c r="B44" s="16"/>
      <c r="C44" s="108"/>
      <c r="D44" s="16"/>
      <c r="E44" s="3"/>
    </row>
    <row r="45" ht="16.4" customHeight="1" spans="1:36">
      <c r="B45" s="65" t="s">
        <v>68</v>
      </c>
      <c r="C45" s="66"/>
      <c r="D45" s="102"/>
      <c r="E45" s="68"/>
    </row>
    <row r="46" ht="16.4" customHeight="1" spans="1:36">
      <c r="B46" s="69" t="s">
        <v>69</v>
      </c>
      <c r="C46" s="70"/>
      <c r="D46" s="103"/>
      <c r="E46" s="109"/>
    </row>
    <row r="47" ht="16.4" customHeight="1" spans="1:36">
      <c r="A47" s="1" t="s">
        <v>70</v>
      </c>
      <c r="B47" s="110" t="s">
        <v>71</v>
      </c>
      <c r="C47" s="111" t="s">
        <v>72</v>
      </c>
      <c r="D47" s="112" t="s">
        <v>73</v>
      </c>
      <c r="E47" s="113" t="s">
        <v>74</v>
      </c>
    </row>
    <row r="48" ht="16.4" customHeight="1" spans="1:36">
      <c r="A48" s="1" t="s">
        <v>75</v>
      </c>
      <c r="B48" s="104" t="s">
        <v>76</v>
      </c>
      <c r="C48" s="114">
        <v>5020020</v>
      </c>
      <c r="D48" s="115" t="s">
        <v>77</v>
      </c>
      <c r="E48" s="116" t="s">
        <v>78</v>
      </c>
    </row>
    <row r="49" ht="16.4" customHeight="1" spans="1:38">
      <c r="C49" s="2"/>
    </row>
    <row r="50" ht="16.4" customHeight="1" spans="1:38">
      <c r="A50" s="1" t="s">
        <v>79</v>
      </c>
      <c r="B50" s="117" t="s">
        <v>80</v>
      </c>
      <c r="C50" s="118" t="s">
        <v>81</v>
      </c>
      <c r="D50" s="119" t="s">
        <v>82</v>
      </c>
      <c r="E50" s="120" t="s">
        <v>83</v>
      </c>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row>
    <row r="51" ht="16.4" customHeight="1" spans="1:38">
      <c r="A51" s="1" t="s">
        <v>84</v>
      </c>
      <c r="B51" s="76" t="s">
        <v>85</v>
      </c>
      <c r="C51" s="42">
        <v>5220010</v>
      </c>
      <c r="D51" s="2" t="s">
        <v>86</v>
      </c>
      <c r="E51" s="121">
        <f>IF('Train type (2)'!n_of_SB_delay_conv_models="TRUE",1,0)</f>
        <v>1</v>
      </c>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row>
    <row r="52" ht="16.4" customHeight="1" spans="1:38">
      <c r="A52" s="1" t="s">
        <v>79</v>
      </c>
      <c r="B52" s="122" t="s">
        <v>87</v>
      </c>
      <c r="C52" s="123"/>
      <c r="D52" s="34" t="s">
        <v>88</v>
      </c>
      <c r="E52" s="121">
        <f>COUNTIF(F54:M54,"&lt;&gt;-")</f>
        <v>8</v>
      </c>
      <c r="F52" s="124">
        <v>0</v>
      </c>
      <c r="G52" s="54">
        <v>1</v>
      </c>
      <c r="H52" s="54">
        <v>2</v>
      </c>
      <c r="I52" s="54">
        <v>3</v>
      </c>
      <c r="J52" s="54">
        <v>4</v>
      </c>
      <c r="K52" s="54">
        <v>5</v>
      </c>
      <c r="L52" s="54">
        <v>6</v>
      </c>
      <c r="M52" s="125">
        <v>7</v>
      </c>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6"/>
    </row>
    <row r="53" ht="16.4" customHeight="1" spans="1:38">
      <c r="A53" s="1" t="s">
        <v>79</v>
      </c>
      <c r="B53" s="60" t="s">
        <v>89</v>
      </c>
      <c r="C53" s="42"/>
      <c r="D53" s="123" t="s">
        <v>90</v>
      </c>
      <c r="E53" s="126"/>
      <c r="F53" s="127" t="s">
        <v>91</v>
      </c>
      <c r="G53" s="128" t="s">
        <v>92</v>
      </c>
      <c r="H53" s="128" t="s">
        <v>93</v>
      </c>
      <c r="I53" s="128" t="s">
        <v>94</v>
      </c>
      <c r="J53" s="128" t="s">
        <v>95</v>
      </c>
      <c r="K53" s="128" t="s">
        <v>96</v>
      </c>
      <c r="L53" s="128" t="s">
        <v>97</v>
      </c>
      <c r="M53" s="129" t="s">
        <v>98</v>
      </c>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6"/>
    </row>
    <row r="54" ht="16.4" customHeight="1" spans="1:38">
      <c r="A54" s="1" t="s">
        <v>79</v>
      </c>
      <c r="B54" s="76" t="s">
        <v>99</v>
      </c>
      <c r="C54" s="77">
        <v>4220110</v>
      </c>
      <c r="D54" s="43" t="s">
        <v>100</v>
      </c>
      <c r="E54" s="126"/>
      <c r="F54" s="130">
        <v>3</v>
      </c>
      <c r="G54" s="130">
        <v>3</v>
      </c>
      <c r="H54" s="130">
        <v>3</v>
      </c>
      <c r="I54" s="130">
        <v>3</v>
      </c>
      <c r="J54" s="130">
        <v>3</v>
      </c>
      <c r="K54" s="130">
        <v>3</v>
      </c>
      <c r="L54" s="130">
        <v>3</v>
      </c>
      <c r="M54" s="131">
        <v>3</v>
      </c>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6"/>
    </row>
    <row r="55" ht="16.4" customHeight="1" spans="1:38">
      <c r="A55" s="1" t="s">
        <v>79</v>
      </c>
      <c r="B55" s="76" t="s">
        <v>101</v>
      </c>
      <c r="C55" s="77">
        <v>4220115</v>
      </c>
      <c r="D55" s="132" t="s">
        <v>102</v>
      </c>
      <c r="E55" s="133"/>
      <c r="F55" s="130">
        <v>1.5</v>
      </c>
      <c r="G55" s="130">
        <v>1.5</v>
      </c>
      <c r="H55" s="130">
        <v>1.5</v>
      </c>
      <c r="I55" s="130">
        <v>1.5</v>
      </c>
      <c r="J55" s="130">
        <v>1.5</v>
      </c>
      <c r="K55" s="130">
        <v>1.5</v>
      </c>
      <c r="L55" s="130">
        <v>1.5</v>
      </c>
      <c r="M55" s="131">
        <v>1.5</v>
      </c>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6"/>
    </row>
    <row r="56" ht="16.4" customHeight="1" spans="1:38">
      <c r="A56" s="1" t="s">
        <v>79</v>
      </c>
      <c r="B56" s="76" t="s">
        <v>103</v>
      </c>
      <c r="C56" s="77">
        <v>4220120</v>
      </c>
      <c r="D56" s="132" t="s">
        <v>104</v>
      </c>
      <c r="E56" s="134"/>
      <c r="F56" s="130">
        <v>0.1</v>
      </c>
      <c r="G56" s="130">
        <v>0.1</v>
      </c>
      <c r="H56" s="130">
        <v>0.1</v>
      </c>
      <c r="I56" s="130">
        <v>0.1</v>
      </c>
      <c r="J56" s="130">
        <v>0.1</v>
      </c>
      <c r="K56" s="130">
        <v>0.1</v>
      </c>
      <c r="L56" s="130">
        <v>0.1</v>
      </c>
      <c r="M56" s="131">
        <v>0.1</v>
      </c>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6"/>
    </row>
    <row r="57" ht="16.4" customHeight="1" spans="1:38">
      <c r="A57" s="1" t="s">
        <v>79</v>
      </c>
      <c r="B57" s="76" t="s">
        <v>105</v>
      </c>
      <c r="C57" s="77">
        <v>4220125</v>
      </c>
      <c r="D57" s="132" t="s">
        <v>106</v>
      </c>
      <c r="E57" s="134"/>
      <c r="F57" s="130">
        <v>3</v>
      </c>
      <c r="G57" s="130">
        <v>3</v>
      </c>
      <c r="H57" s="130">
        <v>3</v>
      </c>
      <c r="I57" s="130">
        <v>3</v>
      </c>
      <c r="J57" s="130">
        <v>3</v>
      </c>
      <c r="K57" s="130">
        <v>3</v>
      </c>
      <c r="L57" s="130">
        <v>3</v>
      </c>
      <c r="M57" s="131">
        <v>3</v>
      </c>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6"/>
    </row>
    <row r="58" ht="16.4" customHeight="1" spans="1:38">
      <c r="A58" s="1" t="s">
        <v>79</v>
      </c>
      <c r="B58" s="76" t="s">
        <v>107</v>
      </c>
      <c r="C58" s="77">
        <v>4220130</v>
      </c>
      <c r="D58" s="132" t="s">
        <v>108</v>
      </c>
      <c r="E58" s="134"/>
      <c r="F58" s="130">
        <v>2.77</v>
      </c>
      <c r="G58" s="130">
        <v>2.77</v>
      </c>
      <c r="H58" s="130">
        <v>2.77</v>
      </c>
      <c r="I58" s="130">
        <v>2.77</v>
      </c>
      <c r="J58" s="130">
        <v>2.77</v>
      </c>
      <c r="K58" s="130">
        <v>2.77</v>
      </c>
      <c r="L58" s="130">
        <v>2.77</v>
      </c>
      <c r="M58" s="131">
        <v>2.77</v>
      </c>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6"/>
    </row>
    <row r="59" ht="16.4" customHeight="1" spans="1:38">
      <c r="A59" s="1" t="s">
        <v>79</v>
      </c>
      <c r="B59" s="76" t="s">
        <v>109</v>
      </c>
      <c r="C59" s="77">
        <v>4220135</v>
      </c>
      <c r="D59" s="132" t="s">
        <v>110</v>
      </c>
      <c r="E59" s="134"/>
      <c r="F59" s="130">
        <v>0</v>
      </c>
      <c r="G59" s="130">
        <v>0</v>
      </c>
      <c r="H59" s="130">
        <v>0</v>
      </c>
      <c r="I59" s="130">
        <v>0</v>
      </c>
      <c r="J59" s="130">
        <v>0</v>
      </c>
      <c r="K59" s="130">
        <v>0</v>
      </c>
      <c r="L59" s="130">
        <v>0</v>
      </c>
      <c r="M59" s="131">
        <v>0</v>
      </c>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6"/>
    </row>
    <row r="60" ht="16.4" customHeight="1" spans="1:38">
      <c r="A60" s="1" t="s">
        <v>79</v>
      </c>
      <c r="B60" s="76" t="s">
        <v>111</v>
      </c>
      <c r="C60" s="77">
        <v>4220140</v>
      </c>
      <c r="D60" s="132" t="s">
        <v>112</v>
      </c>
      <c r="E60" s="134"/>
      <c r="F60" s="130">
        <v>10.5</v>
      </c>
      <c r="G60" s="130">
        <v>10.5</v>
      </c>
      <c r="H60" s="130">
        <v>10.5</v>
      </c>
      <c r="I60" s="130">
        <v>10.5</v>
      </c>
      <c r="J60" s="130">
        <v>10.5</v>
      </c>
      <c r="K60" s="130">
        <v>10.5</v>
      </c>
      <c r="L60" s="130">
        <v>10.5</v>
      </c>
      <c r="M60" s="131">
        <v>10.5</v>
      </c>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6"/>
    </row>
    <row r="61" ht="16.4" customHeight="1" spans="1:38">
      <c r="A61" s="1" t="s">
        <v>79</v>
      </c>
      <c r="B61" s="76" t="s">
        <v>113</v>
      </c>
      <c r="C61" s="77">
        <v>4220145</v>
      </c>
      <c r="D61" s="132" t="s">
        <v>114</v>
      </c>
      <c r="E61" s="134"/>
      <c r="F61" s="130">
        <v>0.32</v>
      </c>
      <c r="G61" s="130">
        <v>0.32</v>
      </c>
      <c r="H61" s="130">
        <v>0.32</v>
      </c>
      <c r="I61" s="130">
        <v>0.32</v>
      </c>
      <c r="J61" s="130">
        <v>0.32</v>
      </c>
      <c r="K61" s="130">
        <v>0.32</v>
      </c>
      <c r="L61" s="130">
        <v>0.32</v>
      </c>
      <c r="M61" s="131">
        <v>0.32</v>
      </c>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6"/>
    </row>
    <row r="62" ht="16.4" customHeight="1" spans="1:38">
      <c r="A62" s="1" t="s">
        <v>79</v>
      </c>
      <c r="B62" s="76" t="s">
        <v>115</v>
      </c>
      <c r="C62" s="77">
        <v>4220150</v>
      </c>
      <c r="D62" s="132" t="s">
        <v>116</v>
      </c>
      <c r="E62" s="134"/>
      <c r="F62" s="130">
        <v>0.18</v>
      </c>
      <c r="G62" s="130">
        <v>0.18</v>
      </c>
      <c r="H62" s="130">
        <v>0.18</v>
      </c>
      <c r="I62" s="130">
        <v>0.18</v>
      </c>
      <c r="J62" s="130">
        <v>0.18</v>
      </c>
      <c r="K62" s="130">
        <v>0.18</v>
      </c>
      <c r="L62" s="130">
        <v>0.18</v>
      </c>
      <c r="M62" s="131">
        <v>0.18</v>
      </c>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6"/>
    </row>
    <row r="63" ht="16.4" customHeight="1" spans="1:38">
      <c r="A63" s="1" t="s">
        <v>79</v>
      </c>
      <c r="B63" s="76" t="s">
        <v>117</v>
      </c>
      <c r="C63" s="77">
        <v>4220155</v>
      </c>
      <c r="D63" s="132" t="s">
        <v>118</v>
      </c>
      <c r="E63" s="134"/>
      <c r="F63" s="130">
        <v>3</v>
      </c>
      <c r="G63" s="130">
        <v>3</v>
      </c>
      <c r="H63" s="130">
        <v>3</v>
      </c>
      <c r="I63" s="130">
        <v>3</v>
      </c>
      <c r="J63" s="130">
        <v>3</v>
      </c>
      <c r="K63" s="130">
        <v>3</v>
      </c>
      <c r="L63" s="130">
        <v>3</v>
      </c>
      <c r="M63" s="131">
        <v>3</v>
      </c>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6"/>
    </row>
    <row r="64" ht="16.4" customHeight="1" spans="1:38">
      <c r="A64" s="1" t="s">
        <v>79</v>
      </c>
      <c r="B64" s="76" t="s">
        <v>119</v>
      </c>
      <c r="C64" s="77">
        <v>4220160</v>
      </c>
      <c r="D64" s="132" t="s">
        <v>120</v>
      </c>
      <c r="E64" s="134"/>
      <c r="F64" s="130">
        <v>2.77</v>
      </c>
      <c r="G64" s="130">
        <v>2.77</v>
      </c>
      <c r="H64" s="130">
        <v>2.77</v>
      </c>
      <c r="I64" s="130">
        <v>2.77</v>
      </c>
      <c r="J64" s="130">
        <v>2.77</v>
      </c>
      <c r="K64" s="130">
        <v>2.77</v>
      </c>
      <c r="L64" s="130">
        <v>2.77</v>
      </c>
      <c r="M64" s="131">
        <v>2.77</v>
      </c>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6"/>
    </row>
    <row r="65" ht="16.4" customHeight="1" spans="1:38">
      <c r="A65" s="1" t="s">
        <v>79</v>
      </c>
      <c r="B65" s="76" t="s">
        <v>121</v>
      </c>
      <c r="C65" s="77">
        <v>4220165</v>
      </c>
      <c r="D65" s="132" t="s">
        <v>122</v>
      </c>
      <c r="E65" s="134"/>
      <c r="F65" s="130">
        <v>0</v>
      </c>
      <c r="G65" s="130">
        <v>0</v>
      </c>
      <c r="H65" s="130">
        <v>0</v>
      </c>
      <c r="I65" s="130">
        <v>0</v>
      </c>
      <c r="J65" s="130">
        <v>0</v>
      </c>
      <c r="K65" s="130">
        <v>0</v>
      </c>
      <c r="L65" s="130">
        <v>0</v>
      </c>
      <c r="M65" s="131">
        <v>0</v>
      </c>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6"/>
    </row>
    <row r="66" ht="16.4" customHeight="1" spans="1:38">
      <c r="A66" s="1" t="s">
        <v>79</v>
      </c>
      <c r="B66" s="76" t="s">
        <v>123</v>
      </c>
      <c r="C66" s="77">
        <v>4220170</v>
      </c>
      <c r="D66" s="132" t="s">
        <v>124</v>
      </c>
      <c r="E66" s="134"/>
      <c r="F66" s="130">
        <v>10.5</v>
      </c>
      <c r="G66" s="130">
        <v>10.5</v>
      </c>
      <c r="H66" s="130">
        <v>10.5</v>
      </c>
      <c r="I66" s="130">
        <v>10.5</v>
      </c>
      <c r="J66" s="130">
        <v>10.5</v>
      </c>
      <c r="K66" s="130">
        <v>10.5</v>
      </c>
      <c r="L66" s="130">
        <v>10.5</v>
      </c>
      <c r="M66" s="131">
        <v>10.5</v>
      </c>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6"/>
    </row>
    <row r="67" ht="16.4" customHeight="1" spans="1:38">
      <c r="A67" s="1" t="s">
        <v>79</v>
      </c>
      <c r="B67" s="76" t="s">
        <v>125</v>
      </c>
      <c r="C67" s="77">
        <v>4220175</v>
      </c>
      <c r="D67" s="132" t="s">
        <v>126</v>
      </c>
      <c r="E67" s="134"/>
      <c r="F67" s="130">
        <v>0.32</v>
      </c>
      <c r="G67" s="130">
        <v>0.32</v>
      </c>
      <c r="H67" s="130">
        <v>0.32</v>
      </c>
      <c r="I67" s="130">
        <v>0.32</v>
      </c>
      <c r="J67" s="130">
        <v>0.32</v>
      </c>
      <c r="K67" s="130">
        <v>0.32</v>
      </c>
      <c r="L67" s="130">
        <v>0.32</v>
      </c>
      <c r="M67" s="131">
        <v>0.32</v>
      </c>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6"/>
    </row>
    <row r="68" ht="16.4" customHeight="1" spans="1:38">
      <c r="A68" s="1" t="s">
        <v>79</v>
      </c>
      <c r="B68" s="76" t="s">
        <v>127</v>
      </c>
      <c r="C68" s="77">
        <v>4220180</v>
      </c>
      <c r="D68" s="132" t="s">
        <v>128</v>
      </c>
      <c r="E68" s="134"/>
      <c r="F68" s="130">
        <v>0.18</v>
      </c>
      <c r="G68" s="130">
        <v>0.18</v>
      </c>
      <c r="H68" s="130">
        <v>0.18</v>
      </c>
      <c r="I68" s="130">
        <v>0.18</v>
      </c>
      <c r="J68" s="130">
        <v>0.18</v>
      </c>
      <c r="K68" s="130">
        <v>0.18</v>
      </c>
      <c r="L68" s="130">
        <v>0.18</v>
      </c>
      <c r="M68" s="131">
        <v>0.18</v>
      </c>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6"/>
    </row>
    <row r="69" ht="16.4" customHeight="1" spans="1:38">
      <c r="A69" s="1" t="s">
        <v>79</v>
      </c>
      <c r="B69" s="76" t="s">
        <v>129</v>
      </c>
      <c r="C69" s="77">
        <v>4220185</v>
      </c>
      <c r="D69" s="132" t="s">
        <v>130</v>
      </c>
      <c r="E69" s="134"/>
      <c r="F69" s="130">
        <v>1.2</v>
      </c>
      <c r="G69" s="130">
        <v>1.2</v>
      </c>
      <c r="H69" s="130">
        <v>1.2</v>
      </c>
      <c r="I69" s="130">
        <v>1.2</v>
      </c>
      <c r="J69" s="130">
        <v>1.2</v>
      </c>
      <c r="K69" s="130">
        <v>1.2</v>
      </c>
      <c r="L69" s="130">
        <v>1.2</v>
      </c>
      <c r="M69" s="131">
        <v>1.2</v>
      </c>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6"/>
    </row>
    <row r="70" ht="16.4" customHeight="1" spans="1:38">
      <c r="A70" s="1" t="s">
        <v>79</v>
      </c>
      <c r="B70" s="76" t="s">
        <v>131</v>
      </c>
      <c r="C70" s="77">
        <v>4220190</v>
      </c>
      <c r="D70" s="132" t="s">
        <v>132</v>
      </c>
      <c r="E70" s="134"/>
      <c r="F70" s="130">
        <v>1.2</v>
      </c>
      <c r="G70" s="130">
        <v>1.2</v>
      </c>
      <c r="H70" s="130">
        <v>1.2</v>
      </c>
      <c r="I70" s="130">
        <v>1.2</v>
      </c>
      <c r="J70" s="130">
        <v>1.2</v>
      </c>
      <c r="K70" s="130">
        <v>1.2</v>
      </c>
      <c r="L70" s="130">
        <v>1.2</v>
      </c>
      <c r="M70" s="131">
        <v>1.2</v>
      </c>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6"/>
    </row>
    <row r="71" ht="16.4" customHeight="1" spans="1:38">
      <c r="A71" s="1" t="s">
        <v>79</v>
      </c>
      <c r="B71" s="104" t="s">
        <v>133</v>
      </c>
      <c r="C71" s="135">
        <v>4220195</v>
      </c>
      <c r="D71" s="136" t="s">
        <v>134</v>
      </c>
      <c r="E71" s="137"/>
      <c r="F71" s="138">
        <v>1.16</v>
      </c>
      <c r="G71" s="138">
        <v>1.16</v>
      </c>
      <c r="H71" s="138">
        <v>1.16</v>
      </c>
      <c r="I71" s="138">
        <v>1.16</v>
      </c>
      <c r="J71" s="138">
        <v>1.16</v>
      </c>
      <c r="K71" s="138">
        <v>1.16</v>
      </c>
      <c r="L71" s="138">
        <v>1.16</v>
      </c>
      <c r="M71" s="139">
        <v>1.16</v>
      </c>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6"/>
    </row>
    <row r="72" ht="16.4" customHeight="1" spans="1:38">
      <c r="A72" s="15"/>
      <c r="B72" s="63"/>
      <c r="C72" s="17"/>
      <c r="D72" s="16"/>
      <c r="E72" s="101"/>
    </row>
    <row r="73" ht="16.4" customHeight="1" spans="1:38">
      <c r="A73" s="1" t="s">
        <v>135</v>
      </c>
      <c r="B73" s="117" t="s">
        <v>136</v>
      </c>
      <c r="C73" s="74">
        <v>5105000</v>
      </c>
      <c r="D73" s="140"/>
      <c r="E73" s="141"/>
    </row>
    <row r="74" ht="16.4" customHeight="1" spans="1:38">
      <c r="A74" s="1" t="s">
        <v>137</v>
      </c>
      <c r="B74" s="142" t="s">
        <v>138</v>
      </c>
      <c r="C74" s="143">
        <v>5105010</v>
      </c>
      <c r="D74" s="144" t="s">
        <v>139</v>
      </c>
      <c r="E74" s="145" t="e" cm="1">
        <f t="array" ref="E74">Fixed_Param(44,1)</f>
        <v>#NAME?</v>
      </c>
      <c r="F74" s="16"/>
    </row>
    <row r="75" ht="16.4" customHeight="1" spans="1:38">
      <c r="A75" s="1" t="s">
        <v>140</v>
      </c>
      <c r="B75" s="146" t="s">
        <v>138</v>
      </c>
      <c r="C75" s="147">
        <v>5105020</v>
      </c>
      <c r="D75" s="148" t="s">
        <v>141</v>
      </c>
      <c r="E75" s="145" t="e" cm="1">
        <f t="array" ref="E75">Fixed_Param(643,1)</f>
        <v>#NAME?</v>
      </c>
      <c r="F75" s="16"/>
    </row>
    <row r="76" ht="16.4" customHeight="1" spans="1:38">
      <c r="B76" s="146"/>
      <c r="C76" s="147"/>
      <c r="D76" s="148" t="s">
        <v>142</v>
      </c>
      <c r="E76" s="145" t="e" cm="1">
        <f t="array" ref="E76">Fixed_Param(305,1)</f>
        <v>#NAME?</v>
      </c>
      <c r="F76" s="16"/>
    </row>
    <row r="77" ht="16.4" customHeight="1" spans="1:38">
      <c r="A77" s="149" t="s">
        <v>143</v>
      </c>
      <c r="B77" s="146"/>
      <c r="C77" s="147"/>
      <c r="D77" s="148" t="s">
        <v>144</v>
      </c>
      <c r="E77" s="145" t="e" cm="1">
        <f t="array" ref="E77">Fixed_Param(343,1)</f>
        <v>#NAME?</v>
      </c>
      <c r="F77" s="16"/>
    </row>
    <row r="78" ht="16.4" customHeight="1" spans="1:38">
      <c r="B78" s="150"/>
      <c r="C78" s="151">
        <v>5110030</v>
      </c>
      <c r="D78" s="152" t="s">
        <v>145</v>
      </c>
      <c r="E78" s="153" t="e" cm="1">
        <f t="array" ref="E78">dc(125)</f>
        <v>#NAME?</v>
      </c>
      <c r="F78" s="16"/>
    </row>
    <row r="79" ht="30" customHeight="1" spans="1:38">
      <c r="A79" s="149" t="s">
        <v>143</v>
      </c>
      <c r="B79" s="142"/>
      <c r="C79" s="143"/>
      <c r="D79" s="154" t="s">
        <v>146</v>
      </c>
      <c r="E79" s="153" t="e" cm="1">
        <f t="array" ref="E79">dc(126)</f>
        <v>#NAME?</v>
      </c>
      <c r="F79" s="16"/>
    </row>
    <row r="80" ht="16.4" customHeight="1" spans="1:38">
      <c r="A80" s="1" t="s">
        <v>143</v>
      </c>
      <c r="B80" s="155"/>
      <c r="C80" s="156"/>
      <c r="D80" s="157" t="s">
        <v>147</v>
      </c>
      <c r="E80" s="158" t="e" cm="1">
        <f t="array" ref="E80">Fixed_Param(387,1)</f>
        <v>#NAME?</v>
      </c>
      <c r="F80" s="16"/>
    </row>
    <row r="81" ht="16.4" customHeight="1" spans="1:21">
      <c r="A81" s="1" t="s">
        <v>148</v>
      </c>
      <c r="B81" s="159"/>
      <c r="C81" s="160"/>
      <c r="D81" s="161"/>
    </row>
    <row r="82" ht="16.4" customHeight="1" spans="1:21">
      <c r="A82" s="1" t="s">
        <v>149</v>
      </c>
      <c r="B82" s="162" t="s">
        <v>150</v>
      </c>
      <c r="C82" s="163">
        <v>5110000</v>
      </c>
      <c r="D82" s="164"/>
      <c r="E82" s="165"/>
    </row>
    <row r="83" ht="16.4" customHeight="1" spans="1:21">
      <c r="A83" s="1" t="s">
        <v>149</v>
      </c>
      <c r="B83" s="166"/>
      <c r="C83" s="167">
        <v>5110000</v>
      </c>
      <c r="D83" s="168"/>
      <c r="E83" s="169"/>
      <c r="F83" s="170" t="s">
        <v>151</v>
      </c>
      <c r="G83" s="170" t="s">
        <v>152</v>
      </c>
      <c r="H83" s="170" t="s">
        <v>153</v>
      </c>
      <c r="I83" s="170" t="s">
        <v>154</v>
      </c>
      <c r="J83" s="170" t="s">
        <v>155</v>
      </c>
      <c r="K83" s="170" t="s">
        <v>156</v>
      </c>
      <c r="L83" s="170" t="s">
        <v>157</v>
      </c>
      <c r="M83" s="170" t="s">
        <v>158</v>
      </c>
      <c r="N83" s="170" t="s">
        <v>159</v>
      </c>
      <c r="O83" s="170" t="s">
        <v>160</v>
      </c>
      <c r="P83" s="170" t="s">
        <v>161</v>
      </c>
      <c r="Q83" s="118" t="s">
        <v>162</v>
      </c>
      <c r="R83" s="118" t="s">
        <v>163</v>
      </c>
      <c r="S83" s="118" t="s">
        <v>164</v>
      </c>
      <c r="T83" s="118" t="s">
        <v>165</v>
      </c>
      <c r="U83" s="171" t="s">
        <v>166</v>
      </c>
    </row>
    <row r="84" ht="16.4" customHeight="1" spans="1:21">
      <c r="B84" s="166"/>
      <c r="C84" s="167"/>
      <c r="D84" s="172" t="s">
        <v>167</v>
      </c>
      <c r="E84" s="169"/>
      <c r="F84" s="173">
        <v>1</v>
      </c>
      <c r="G84" s="173">
        <v>2</v>
      </c>
      <c r="H84" s="173">
        <v>3</v>
      </c>
      <c r="I84" s="173">
        <v>4</v>
      </c>
      <c r="J84" s="173">
        <v>5</v>
      </c>
      <c r="K84" s="173">
        <v>6</v>
      </c>
      <c r="L84" s="173">
        <v>7</v>
      </c>
      <c r="M84" s="173">
        <v>8</v>
      </c>
      <c r="N84" s="173">
        <v>9</v>
      </c>
      <c r="O84" s="173">
        <v>10</v>
      </c>
      <c r="P84" s="173">
        <v>11</v>
      </c>
      <c r="Q84" s="173">
        <v>12</v>
      </c>
      <c r="R84" s="173">
        <v>13</v>
      </c>
      <c r="S84" s="173">
        <v>14</v>
      </c>
      <c r="T84" s="173">
        <v>15</v>
      </c>
      <c r="U84" s="174">
        <v>16</v>
      </c>
    </row>
    <row r="85" ht="16.4" customHeight="1" spans="1:21">
      <c r="B85" s="175" t="s">
        <v>168</v>
      </c>
      <c r="C85" s="176">
        <v>5110010</v>
      </c>
      <c r="D85" s="132" t="s">
        <v>169</v>
      </c>
      <c r="E85" s="177"/>
      <c r="F85" s="178" t="e" cm="1">
        <f t="array" ref="F85">dc(9)</f>
        <v>#NAME?</v>
      </c>
      <c r="G85" s="179" t="e" cm="1">
        <f t="array" ref="G85">dc(11)</f>
        <v>#NAME?</v>
      </c>
      <c r="H85" s="179" t="e" cm="1">
        <f t="array" ref="H85">dc(13)</f>
        <v>#NAME?</v>
      </c>
      <c r="I85" s="179" t="e" cm="1">
        <f t="array" ref="I85">dc(15)</f>
        <v>#NAME?</v>
      </c>
      <c r="J85" s="179" t="e" cm="1">
        <f t="array" ref="J85">dc(17)</f>
        <v>#NAME?</v>
      </c>
      <c r="K85" s="179" t="e" cm="1">
        <f t="array" ref="K85">dc(19)</f>
        <v>#NAME?</v>
      </c>
      <c r="L85" s="179" t="e" cm="1">
        <f t="array" ref="L85">dc(21)</f>
        <v>#NAME?</v>
      </c>
      <c r="M85" s="179" t="e" cm="1">
        <f t="array" ref="M85">dc(23)</f>
        <v>#NAME?</v>
      </c>
      <c r="N85" s="179" t="e" cm="1">
        <f t="array" ref="N85">dc(25)</f>
        <v>#NAME?</v>
      </c>
      <c r="O85" s="179" t="e" cm="1">
        <f t="array" ref="O85">dc(27)</f>
        <v>#NAME?</v>
      </c>
      <c r="P85" s="178" t="e" cm="1">
        <f t="array" ref="P85">dc(74)</f>
        <v>#NAME?</v>
      </c>
      <c r="Q85" s="180" t="s">
        <v>170</v>
      </c>
      <c r="R85" s="180" t="s">
        <v>170</v>
      </c>
      <c r="S85" s="180" t="s">
        <v>170</v>
      </c>
      <c r="T85" s="180" t="s">
        <v>170</v>
      </c>
      <c r="U85" s="181" t="s">
        <v>170</v>
      </c>
    </row>
    <row r="86" ht="16.4" customHeight="1" spans="1:21">
      <c r="A86" s="1" t="s">
        <v>171</v>
      </c>
      <c r="B86" s="182" t="s">
        <v>172</v>
      </c>
      <c r="C86" s="183">
        <v>5110020</v>
      </c>
      <c r="D86" s="136" t="s">
        <v>173</v>
      </c>
      <c r="E86" s="184"/>
      <c r="F86" s="185" t="e" cm="1">
        <f t="array" ref="F86">Fixed_Param(556,1)</f>
        <v>#NAME?</v>
      </c>
      <c r="G86" s="185" t="e" cm="1">
        <f t="array" ref="G86">Fixed_Param(556,1)</f>
        <v>#NAME?</v>
      </c>
      <c r="H86" s="186" t="e" cm="1">
        <f t="array" ref="H86">IF(AND(dc(126)="DISTANCE",dc(13)&lt;&gt;"NOT_DISPLAYED"),dc(131),Fixed_Param(556,1))</f>
        <v>#NAME?</v>
      </c>
      <c r="I86" s="186" t="e" cm="1">
        <f t="array" ref="I86">IF(I85="NOT_DISPLAYED",0,dc(8+I84*2))</f>
        <v>#NAME?</v>
      </c>
      <c r="J86" s="185" t="e" cm="1">
        <f t="array" ref="J86">Fixed_Param(556,1)</f>
        <v>#NAME?</v>
      </c>
      <c r="K86" s="186" t="e" cm="1">
        <f t="array" ref="K86">IF(K85="NOT_DISPLAYED",0,dc(8+K84*2))</f>
        <v>#NAME?</v>
      </c>
      <c r="L86" s="186" t="e" cm="1">
        <f t="array" ref="L86">IF(L85="NOT_DISPLAYED",0,dc(8+L84*2))</f>
        <v>#NAME?</v>
      </c>
      <c r="M86" s="186" t="e" cm="1">
        <f t="array" ref="M86">IF(M85="NOT_DISPLAYED",0,dc(8+M84*2))</f>
        <v>#NAME?</v>
      </c>
      <c r="N86" s="186" t="e" cm="1">
        <f t="array" ref="N86">IF(N85="NOT_DISPLAYED",0,dc(8+N84*2))</f>
        <v>#NAME?</v>
      </c>
      <c r="O86" s="186" t="e" cm="1">
        <f t="array" ref="O86">IF(O85="NOT_DISPLAYED",0,dc(8+O84*2))</f>
        <v>#NAME?</v>
      </c>
      <c r="P86" s="186" t="e" cm="1">
        <f t="array" ref="P86">IF(P85="NOT_DISPLAYED",0,dc(75))</f>
        <v>#NAME?</v>
      </c>
      <c r="Q86" s="187">
        <v>0</v>
      </c>
      <c r="R86" s="187">
        <v>0</v>
      </c>
      <c r="S86" s="187">
        <v>0</v>
      </c>
      <c r="T86" s="187">
        <v>0</v>
      </c>
      <c r="U86" s="188">
        <v>0</v>
      </c>
    </row>
    <row r="87" ht="16.4" customHeight="1" spans="1:21">
      <c r="A87" s="1" t="s">
        <v>174</v>
      </c>
      <c r="B87" s="189"/>
      <c r="C87" s="108"/>
      <c r="D87" s="189"/>
      <c r="E87" s="3"/>
    </row>
    <row r="88" ht="16.4" customHeight="1" spans="1:21">
      <c r="A88" s="1" t="s">
        <v>175</v>
      </c>
      <c r="B88" s="190" t="s">
        <v>176</v>
      </c>
      <c r="C88" s="163">
        <v>5120000</v>
      </c>
      <c r="D88" s="164"/>
      <c r="E88" s="68"/>
    </row>
    <row r="89" ht="26.15" customHeight="1" spans="1:21">
      <c r="B89" s="85" t="s">
        <v>177</v>
      </c>
      <c r="C89" s="176">
        <v>5120010</v>
      </c>
      <c r="D89" s="43" t="s">
        <v>178</v>
      </c>
      <c r="E89" s="191" t="e" cm="1">
        <f t="array" ref="E89">dc(29)</f>
        <v>#NAME?</v>
      </c>
    </row>
    <row r="90" ht="26.15" customHeight="1" spans="1:21">
      <c r="A90" s="149" t="s">
        <v>143</v>
      </c>
      <c r="B90" s="192" t="s">
        <v>179</v>
      </c>
      <c r="C90" s="193"/>
      <c r="D90" s="46" t="s">
        <v>180</v>
      </c>
      <c r="E90" s="194" t="e" cm="1">
        <f t="array" ref="E90">dc(127)</f>
        <v>#NAME?</v>
      </c>
    </row>
    <row r="91" ht="32.15" customHeight="1" spans="1:21">
      <c r="B91" s="182" t="s">
        <v>181</v>
      </c>
      <c r="C91" s="183">
        <v>5120020</v>
      </c>
      <c r="D91" s="50" t="s">
        <v>182</v>
      </c>
      <c r="E91" s="195" t="e" cm="1">
        <f t="array" ref="E91">IF(E89="NOT_DISPLAYED",0,dc(30))</f>
        <v>#NAME?</v>
      </c>
    </row>
    <row r="92" ht="16.4" customHeight="1" spans="1:21">
      <c r="A92" s="1" t="s">
        <v>183</v>
      </c>
      <c r="B92" s="196"/>
      <c r="C92" s="108"/>
      <c r="D92" s="189"/>
      <c r="E92" s="197"/>
    </row>
    <row r="93" ht="16.4" customHeight="1" spans="1:21">
      <c r="A93" s="1" t="s">
        <v>137</v>
      </c>
      <c r="B93" s="53" t="s">
        <v>184</v>
      </c>
      <c r="C93" s="90"/>
      <c r="D93" s="55"/>
      <c r="E93" s="68"/>
    </row>
    <row r="94" ht="16.4" customHeight="1" spans="1:21">
      <c r="A94" s="1" t="s">
        <v>185</v>
      </c>
      <c r="B94" s="85" t="s">
        <v>186</v>
      </c>
      <c r="C94" s="33">
        <v>5030010</v>
      </c>
      <c r="D94" s="87" t="s">
        <v>187</v>
      </c>
      <c r="E94" s="191" t="e" cm="1">
        <f t="array" ref="E94">dc(71)</f>
        <v>#NAME?</v>
      </c>
      <c r="F94" s="16"/>
    </row>
    <row r="95" ht="30.65" customHeight="1" spans="1:21">
      <c r="A95" s="149" t="s">
        <v>143</v>
      </c>
      <c r="B95" s="85" t="s">
        <v>188</v>
      </c>
      <c r="C95" s="33"/>
      <c r="D95" s="43" t="s">
        <v>189</v>
      </c>
      <c r="E95" s="191" t="e" cm="1">
        <f t="array" ref="E95">dc(128)</f>
        <v>#NAME?</v>
      </c>
      <c r="F95" s="16"/>
    </row>
    <row r="96" ht="16.4" customHeight="1" spans="1:21">
      <c r="A96" s="1" t="s">
        <v>137</v>
      </c>
      <c r="B96" s="85" t="s">
        <v>190</v>
      </c>
      <c r="C96" s="33">
        <v>5030020</v>
      </c>
      <c r="D96" s="87" t="s">
        <v>191</v>
      </c>
      <c r="E96" s="191" t="e" cm="1">
        <f t="array" ref="E96">dc(72)</f>
        <v>#NAME?</v>
      </c>
      <c r="F96" s="16"/>
    </row>
    <row r="97" ht="16.4" customHeight="1" spans="1:21">
      <c r="A97" s="1" t="s">
        <v>140</v>
      </c>
      <c r="B97" s="175" t="s">
        <v>192</v>
      </c>
      <c r="C97" s="198">
        <v>5030030</v>
      </c>
      <c r="D97" s="43" t="s">
        <v>193</v>
      </c>
      <c r="E97" s="199" t="e" cm="1">
        <f t="array" ref="E97">dc(124)</f>
        <v>#NAME?</v>
      </c>
      <c r="F97" s="16"/>
    </row>
    <row r="98" ht="16.4" customHeight="1" spans="1:21">
      <c r="B98" s="189"/>
      <c r="C98" s="108"/>
      <c r="D98" s="189"/>
      <c r="E98" s="3"/>
    </row>
    <row r="99" ht="16.4" customHeight="1" spans="1:21">
      <c r="A99" s="1" t="s">
        <v>140</v>
      </c>
      <c r="B99" s="190" t="s">
        <v>194</v>
      </c>
      <c r="C99" s="163"/>
      <c r="D99" s="200"/>
      <c r="E99" s="68"/>
    </row>
    <row r="100" ht="26.9" customHeight="1" spans="1:21">
      <c r="A100" s="149" t="s">
        <v>143</v>
      </c>
      <c r="B100" s="201" t="s">
        <v>195</v>
      </c>
      <c r="C100" s="167"/>
      <c r="D100" s="132" t="s">
        <v>196</v>
      </c>
      <c r="E100" s="202" t="e" cm="1">
        <f t="array" ref="E100">dc(129)</f>
        <v>#NAME?</v>
      </c>
    </row>
    <row r="101" ht="28.4" customHeight="1" spans="1:21">
      <c r="A101" s="1" t="s">
        <v>140</v>
      </c>
      <c r="B101" s="85" t="s">
        <v>197</v>
      </c>
      <c r="C101" s="176"/>
      <c r="D101" s="43" t="s">
        <v>198</v>
      </c>
      <c r="E101" s="191" t="e" cm="1">
        <f t="array" ref="E101">dc(121)</f>
        <v>#NAME?</v>
      </c>
    </row>
    <row r="102" ht="29.15" customHeight="1" spans="1:21">
      <c r="A102" s="1" t="s">
        <v>140</v>
      </c>
      <c r="B102" s="182" t="s">
        <v>199</v>
      </c>
      <c r="C102" s="183"/>
      <c r="D102" s="50" t="s">
        <v>200</v>
      </c>
      <c r="E102" s="195" t="e" cm="1">
        <f t="array" ref="E102">dc(120)</f>
        <v>#NAME?</v>
      </c>
    </row>
    <row r="103" ht="16.4" customHeight="1" spans="1:21">
      <c r="B103" s="189"/>
      <c r="C103" s="108"/>
      <c r="D103" s="189"/>
      <c r="E103" s="3"/>
    </row>
    <row r="104" ht="16.4" customHeight="1" spans="1:21">
      <c r="A104" s="1" t="s">
        <v>140</v>
      </c>
      <c r="B104" s="190" t="s">
        <v>201</v>
      </c>
      <c r="C104" s="163"/>
      <c r="D104" s="164"/>
      <c r="E104" s="203"/>
    </row>
    <row r="105" ht="29.15" customHeight="1" spans="1:21">
      <c r="A105" s="149" t="s">
        <v>143</v>
      </c>
      <c r="B105" s="201" t="s">
        <v>202</v>
      </c>
      <c r="C105" s="167"/>
      <c r="D105" s="132" t="s">
        <v>203</v>
      </c>
      <c r="E105" s="202" t="e" cm="1">
        <f t="array" ref="E105">dc(130)</f>
        <v>#NAME?</v>
      </c>
    </row>
    <row r="106" ht="16.4" customHeight="1" spans="1:21">
      <c r="A106" s="1" t="s">
        <v>140</v>
      </c>
      <c r="B106" s="85" t="s">
        <v>204</v>
      </c>
      <c r="C106" s="176"/>
      <c r="D106" s="43" t="s">
        <v>205</v>
      </c>
      <c r="E106" s="191" t="e" cm="1">
        <f t="array" ref="E106">dc(123)</f>
        <v>#NAME?</v>
      </c>
    </row>
    <row r="107" ht="16.4" customHeight="1" spans="1:21">
      <c r="A107" s="1" t="s">
        <v>140</v>
      </c>
      <c r="B107" s="182" t="s">
        <v>206</v>
      </c>
      <c r="C107" s="183"/>
      <c r="D107" s="50" t="s">
        <v>207</v>
      </c>
      <c r="E107" s="195" t="e" cm="1">
        <f t="array" ref="E107">dc(122)</f>
        <v>#NAME?</v>
      </c>
    </row>
    <row r="108" ht="16.4" customHeight="1" spans="1:21">
      <c r="A108" s="1" t="s">
        <v>148</v>
      </c>
      <c r="B108" s="204"/>
      <c r="C108" s="205"/>
      <c r="D108" s="206"/>
      <c r="E108" s="207"/>
    </row>
    <row r="109" ht="16.4" customHeight="1" spans="1:21">
      <c r="A109" s="1" t="s">
        <v>175</v>
      </c>
      <c r="B109" s="53" t="s">
        <v>208</v>
      </c>
      <c r="C109" s="90"/>
      <c r="D109" s="55"/>
      <c r="E109" s="208"/>
    </row>
    <row r="110" ht="16.4" customHeight="1" spans="1:21">
      <c r="A110" s="1" t="s">
        <v>137</v>
      </c>
      <c r="B110" s="60" t="s">
        <v>209</v>
      </c>
      <c r="C110" s="33"/>
      <c r="D110" s="34"/>
      <c r="E110" s="209"/>
    </row>
    <row r="111" ht="16.4" customHeight="1" spans="1:21">
      <c r="A111" s="1" t="s">
        <v>149</v>
      </c>
      <c r="B111" s="85"/>
      <c r="C111" s="33"/>
      <c r="D111" s="34"/>
      <c r="E111" s="210"/>
      <c r="F111" s="170" t="s">
        <v>151</v>
      </c>
      <c r="G111" s="170" t="s">
        <v>152</v>
      </c>
      <c r="H111" s="170" t="s">
        <v>153</v>
      </c>
      <c r="I111" s="170" t="s">
        <v>210</v>
      </c>
      <c r="J111" s="170" t="s">
        <v>155</v>
      </c>
      <c r="K111" s="170" t="s">
        <v>156</v>
      </c>
      <c r="L111" s="170" t="s">
        <v>157</v>
      </c>
      <c r="M111" s="170" t="s">
        <v>158</v>
      </c>
      <c r="N111" s="170" t="s">
        <v>159</v>
      </c>
      <c r="O111" s="170" t="s">
        <v>160</v>
      </c>
      <c r="P111" s="118" t="s">
        <v>161</v>
      </c>
      <c r="Q111" s="118" t="s">
        <v>162</v>
      </c>
      <c r="R111" s="118" t="s">
        <v>163</v>
      </c>
      <c r="S111" s="118" t="s">
        <v>164</v>
      </c>
      <c r="T111" s="118" t="s">
        <v>165</v>
      </c>
      <c r="U111" s="171" t="s">
        <v>166</v>
      </c>
    </row>
    <row r="112" ht="16.4" customHeight="1" spans="1:21">
      <c r="A112" s="1" t="s">
        <v>211</v>
      </c>
      <c r="B112" s="85"/>
      <c r="C112" s="33"/>
      <c r="D112" s="172" t="s">
        <v>167</v>
      </c>
      <c r="E112" s="169"/>
      <c r="F112" s="173">
        <v>1</v>
      </c>
      <c r="G112" s="173">
        <v>2</v>
      </c>
      <c r="H112" s="173">
        <v>3</v>
      </c>
      <c r="I112" s="173">
        <v>4</v>
      </c>
      <c r="J112" s="173">
        <v>5</v>
      </c>
      <c r="K112" s="173">
        <v>6</v>
      </c>
      <c r="L112" s="173">
        <v>7</v>
      </c>
      <c r="M112" s="173">
        <v>8</v>
      </c>
      <c r="N112" s="173">
        <v>9</v>
      </c>
      <c r="O112" s="173">
        <v>10</v>
      </c>
      <c r="P112" s="173">
        <v>11</v>
      </c>
      <c r="Q112" s="173">
        <v>12</v>
      </c>
      <c r="R112" s="173">
        <v>13</v>
      </c>
      <c r="S112" s="173">
        <v>14</v>
      </c>
      <c r="T112" s="173">
        <v>15</v>
      </c>
      <c r="U112" s="174">
        <v>16</v>
      </c>
    </row>
    <row r="113" ht="16.4" customHeight="1" spans="1:21">
      <c r="A113" s="1" t="s">
        <v>212</v>
      </c>
      <c r="B113" s="85" t="s">
        <v>213</v>
      </c>
      <c r="C113" s="33">
        <v>5130020</v>
      </c>
      <c r="D113" s="34" t="s">
        <v>214</v>
      </c>
      <c r="E113" s="177"/>
      <c r="F113" s="211" t="e" cm="1">
        <f t="array" ref="F113">dc(31)</f>
        <v>#NAME?</v>
      </c>
      <c r="G113" s="212" t="e" cm="1">
        <f t="array" ref="G113">Fixed_Param(14,1)</f>
        <v>#NAME?</v>
      </c>
      <c r="H113" s="213" t="e" cm="1">
        <f t="array" ref="H113">dc(33)</f>
        <v>#NAME?</v>
      </c>
      <c r="I113" s="214" t="e" cm="1">
        <f t="array" ref="I113">dc(34)</f>
        <v>#NAME?</v>
      </c>
      <c r="J113" s="214" t="e" cm="1">
        <f t="array" ref="J113">dc(35)</f>
        <v>#NAME?</v>
      </c>
      <c r="K113" s="214" t="e" cm="1">
        <f t="array" ref="K113">dc(36)</f>
        <v>#NAME?</v>
      </c>
      <c r="L113" s="214" t="e" cm="1">
        <f t="array" ref="L113">dc(37)</f>
        <v>#NAME?</v>
      </c>
      <c r="M113" s="214" t="e" cm="1">
        <f t="array" ref="M113">dc(38)</f>
        <v>#NAME?</v>
      </c>
      <c r="N113" s="214" t="e" cm="1">
        <f t="array" ref="N113">dc(39)</f>
        <v>#NAME?</v>
      </c>
      <c r="O113" s="214" t="e" cm="1">
        <f t="array" ref="O113">dc(40)</f>
        <v>#NAME?</v>
      </c>
      <c r="P113" s="211" t="e" cm="1">
        <f t="array" ref="P113">dc(76)</f>
        <v>#NAME?</v>
      </c>
      <c r="Q113" s="180" t="s">
        <v>170</v>
      </c>
      <c r="R113" s="180" t="s">
        <v>170</v>
      </c>
      <c r="S113" s="180" t="s">
        <v>170</v>
      </c>
      <c r="T113" s="180" t="s">
        <v>170</v>
      </c>
      <c r="U113" s="215" t="s">
        <v>170</v>
      </c>
    </row>
    <row r="114" ht="16.4" customHeight="1" spans="1:21">
      <c r="A114" s="1" t="s">
        <v>137</v>
      </c>
      <c r="B114" s="60" t="s">
        <v>215</v>
      </c>
      <c r="C114" s="33"/>
      <c r="D114" s="34"/>
      <c r="E114" s="216"/>
      <c r="F114" s="217"/>
      <c r="G114" s="218"/>
      <c r="H114" s="218"/>
      <c r="I114" s="218"/>
      <c r="J114" s="218"/>
      <c r="K114" s="218"/>
      <c r="L114" s="218"/>
      <c r="M114" s="218"/>
      <c r="N114" s="218"/>
      <c r="O114" s="218"/>
    </row>
    <row r="115" ht="16.4" customHeight="1" spans="1:21">
      <c r="A115" s="1" t="s">
        <v>212</v>
      </c>
      <c r="B115" s="85" t="s">
        <v>216</v>
      </c>
      <c r="C115" s="33">
        <v>5130030</v>
      </c>
      <c r="D115" s="87" t="s">
        <v>217</v>
      </c>
      <c r="E115" s="219" t="e" cm="1">
        <f t="array" ref="E115">dc(41)</f>
        <v>#NAME?</v>
      </c>
    </row>
    <row r="116" ht="16.4" customHeight="1" spans="1:21">
      <c r="A116" s="1" t="s">
        <v>185</v>
      </c>
      <c r="B116" s="60" t="s">
        <v>218</v>
      </c>
      <c r="C116" s="42"/>
      <c r="D116" s="123"/>
      <c r="E116" s="220"/>
    </row>
    <row r="117" ht="16.4" customHeight="1" spans="1:21">
      <c r="A117" s="1" t="s">
        <v>185</v>
      </c>
      <c r="B117" s="85" t="s">
        <v>219</v>
      </c>
      <c r="C117" s="33">
        <v>5130035</v>
      </c>
      <c r="D117" s="87" t="s">
        <v>220</v>
      </c>
      <c r="E117" s="219" t="e" cm="1">
        <f t="array" ref="E117">dc(73)</f>
        <v>#NAME?</v>
      </c>
    </row>
    <row r="118" ht="16.4" customHeight="1" spans="1:21">
      <c r="A118" s="1" t="s">
        <v>137</v>
      </c>
      <c r="B118" s="60" t="s">
        <v>221</v>
      </c>
      <c r="C118" s="33"/>
      <c r="D118" s="34"/>
      <c r="E118" s="221"/>
    </row>
    <row r="119" ht="16.4" customHeight="1" spans="1:21">
      <c r="A119" s="1" t="s">
        <v>212</v>
      </c>
      <c r="B119" s="85" t="s">
        <v>222</v>
      </c>
      <c r="C119" s="33">
        <v>5130040</v>
      </c>
      <c r="D119" s="87" t="s">
        <v>223</v>
      </c>
      <c r="E119" s="78" t="e" cm="1">
        <f t="array" ref="E119">Fixed_Param(60,1)</f>
        <v>#NAME?</v>
      </c>
    </row>
    <row r="120" ht="16.4" customHeight="1" spans="1:21">
      <c r="A120" s="1" t="s">
        <v>212</v>
      </c>
      <c r="B120" s="85" t="s">
        <v>224</v>
      </c>
      <c r="C120" s="33">
        <v>5130050</v>
      </c>
      <c r="D120" s="87" t="s">
        <v>225</v>
      </c>
      <c r="E120" s="78" t="e" cm="1">
        <f t="array" ref="E120">Fixed_Param(61,1)</f>
        <v>#NAME?</v>
      </c>
    </row>
    <row r="121" ht="16.4" customHeight="1" spans="1:21">
      <c r="A121" s="1" t="s">
        <v>212</v>
      </c>
      <c r="B121" s="85" t="s">
        <v>226</v>
      </c>
      <c r="C121" s="33">
        <v>5130060</v>
      </c>
      <c r="D121" s="87" t="s">
        <v>227</v>
      </c>
      <c r="E121" s="78" t="e" cm="1">
        <f t="array" ref="E121">Fixed_Param(62,1)</f>
        <v>#NAME?</v>
      </c>
    </row>
    <row r="122" ht="16.4" customHeight="1" spans="1:21">
      <c r="A122" s="1" t="s">
        <v>228</v>
      </c>
      <c r="B122" s="222"/>
      <c r="C122" s="223"/>
      <c r="D122" s="39" t="s">
        <v>229</v>
      </c>
      <c r="E122" s="78" t="e" cm="1">
        <f t="array" ref="E122">Fixed_Param(64,1)</f>
        <v>#NAME?</v>
      </c>
    </row>
    <row r="123" ht="16.4" customHeight="1" spans="1:21">
      <c r="A123" s="1" t="s">
        <v>228</v>
      </c>
      <c r="B123" s="224"/>
      <c r="C123" s="49"/>
      <c r="D123" s="225" t="s">
        <v>230</v>
      </c>
      <c r="E123" s="226" t="e" cm="1">
        <f t="array" ref="E123">Fixed_Param(78,1)</f>
        <v>#NAME?</v>
      </c>
    </row>
    <row r="124" ht="16.4" customHeight="1" spans="1:21">
      <c r="B124" s="16"/>
      <c r="C124" s="17"/>
      <c r="D124" s="16"/>
      <c r="E124" s="3"/>
    </row>
    <row r="125" ht="15" customHeight="1" spans="1:21">
      <c r="A125" s="16" t="s">
        <v>231</v>
      </c>
      <c r="B125" s="227" t="s">
        <v>232</v>
      </c>
      <c r="C125" s="163"/>
      <c r="D125" s="200" t="s">
        <v>233</v>
      </c>
      <c r="E125" s="228" t="e" cm="1">
        <f t="array" ref="E125">Fixed_Param(582,1)</f>
        <v>#NAME?</v>
      </c>
    </row>
    <row r="126" ht="16.4" customHeight="1" spans="1:21">
      <c r="A126" s="1" t="s">
        <v>234</v>
      </c>
      <c r="B126" s="229"/>
      <c r="C126" s="230"/>
      <c r="D126" s="34" t="s">
        <v>235</v>
      </c>
      <c r="E126" s="231"/>
      <c r="F126" s="232" t="e" cm="1">
        <f t="array" ref="F126">STM(1000,F$127)</f>
        <v>#NAME?</v>
      </c>
      <c r="G126" s="232" t="e" cm="1">
        <f t="array" ref="G126">STM(1000,G$127)</f>
        <v>#NAME?</v>
      </c>
      <c r="H126" s="232" t="e" cm="1">
        <f t="array" ref="H126">STM(1000,H$127)</f>
        <v>#NAME?</v>
      </c>
      <c r="I126" s="232" t="e" cm="1">
        <f t="array" ref="I126">STM(1000,I$127)</f>
        <v>#NAME?</v>
      </c>
      <c r="J126" s="232" t="e" cm="1">
        <f t="array" ref="J126">STM(1000,J$127)</f>
        <v>#NAME?</v>
      </c>
      <c r="K126" s="232" t="e" cm="1">
        <f t="array" ref="K126">STM(1000,K$127)</f>
        <v>#NAME?</v>
      </c>
      <c r="L126" s="232" t="e" cm="1">
        <f t="array" ref="L126">STM(1000,L$127)</f>
        <v>#NAME?</v>
      </c>
      <c r="M126" s="232" t="e" cm="1">
        <f t="array" ref="M126">STM(1000,M$127)</f>
        <v>#NAME?</v>
      </c>
      <c r="N126" s="232" t="e" cm="1">
        <f t="array" ref="N126">STM(1000,N$127)</f>
        <v>#NAME?</v>
      </c>
      <c r="O126" s="232" t="e" cm="1">
        <f t="array" ref="O126">STM(1000,O$127)</f>
        <v>#NAME?</v>
      </c>
      <c r="P126" s="232" t="e" cm="1">
        <f t="array" ref="P126">STM(1000,P$127)</f>
        <v>#NAME?</v>
      </c>
      <c r="Q126" s="233" t="e" cm="1">
        <f t="array" ref="Q126">STM(1000,Q$127)</f>
        <v>#NAME?</v>
      </c>
    </row>
    <row r="127" ht="16.4" customHeight="1" spans="1:21">
      <c r="A127" s="1" t="s">
        <v>236</v>
      </c>
      <c r="B127" s="85" t="s">
        <v>237</v>
      </c>
      <c r="C127" s="234"/>
      <c r="D127" s="34" t="s">
        <v>238</v>
      </c>
      <c r="E127" s="235">
        <f>COUNTIF(F128:Q128,"&lt;&gt;-")</f>
        <v>12</v>
      </c>
      <c r="F127" s="33">
        <v>1</v>
      </c>
      <c r="G127" s="33">
        <v>2</v>
      </c>
      <c r="H127" s="33">
        <v>3</v>
      </c>
      <c r="I127" s="33">
        <v>4</v>
      </c>
      <c r="J127" s="33">
        <v>5</v>
      </c>
      <c r="K127" s="33">
        <v>6</v>
      </c>
      <c r="L127" s="33">
        <v>7</v>
      </c>
      <c r="M127" s="33">
        <v>8</v>
      </c>
      <c r="N127" s="33">
        <v>9</v>
      </c>
      <c r="O127" s="33">
        <v>10</v>
      </c>
      <c r="P127" s="33">
        <v>11</v>
      </c>
      <c r="Q127" s="236">
        <v>12</v>
      </c>
    </row>
    <row r="128" ht="16.4" customHeight="1" spans="1:21">
      <c r="A128" s="1" t="s">
        <v>239</v>
      </c>
      <c r="B128" s="85"/>
      <c r="C128" s="234">
        <v>5040010</v>
      </c>
      <c r="D128" s="34" t="s">
        <v>240</v>
      </c>
      <c r="E128" s="237"/>
      <c r="F128" s="238" t="e" cm="1">
        <f t="array" ref="F128">Default_STM_Param(1,F$126)</f>
        <v>#NAME?</v>
      </c>
      <c r="G128" s="238" t="e" cm="1">
        <f t="array" ref="G128">Default_STM_Param(1,G$126)</f>
        <v>#NAME?</v>
      </c>
      <c r="H128" s="238" t="e" cm="1">
        <f t="array" ref="H128">Default_STM_Param(1,H$126)</f>
        <v>#NAME?</v>
      </c>
      <c r="I128" s="238" t="e" cm="1">
        <f t="array" ref="I128">Default_STM_Param(1,I$126)</f>
        <v>#NAME?</v>
      </c>
      <c r="J128" s="238" t="e" cm="1">
        <f t="array" ref="J128">Default_STM_Param(1,J$126)</f>
        <v>#NAME?</v>
      </c>
      <c r="K128" s="238" t="e" cm="1">
        <f t="array" ref="K128">Default_STM_Param(1,K$126)</f>
        <v>#NAME?</v>
      </c>
      <c r="L128" s="238" t="e" cm="1">
        <f t="array" ref="L128">Default_STM_Param(1,L$126)</f>
        <v>#NAME?</v>
      </c>
      <c r="M128" s="238" t="e" cm="1">
        <f t="array" ref="M128">Default_STM_Param(1,M$126)</f>
        <v>#NAME?</v>
      </c>
      <c r="N128" s="238" t="e" cm="1">
        <f t="array" ref="N128">Default_STM_Param(1,N$126)</f>
        <v>#NAME?</v>
      </c>
      <c r="O128" s="238" t="e" cm="1">
        <f t="array" ref="O128">Default_STM_Param(1,O$126)</f>
        <v>#NAME?</v>
      </c>
      <c r="P128" s="238" t="e" cm="1">
        <f t="array" ref="P128">Default_STM_Param(1,P$126)</f>
        <v>#NAME?</v>
      </c>
      <c r="Q128" s="239" t="e" cm="1">
        <f t="array" ref="Q128">Default_STM_Param(1,Q$126)</f>
        <v>#NAME?</v>
      </c>
    </row>
    <row r="129" ht="16.4" customHeight="1" spans="1:17">
      <c r="A129" s="1" t="s">
        <v>241</v>
      </c>
      <c r="B129" s="85" t="s">
        <v>242</v>
      </c>
      <c r="C129" s="234">
        <v>5040020</v>
      </c>
      <c r="D129" s="34" t="s">
        <v>243</v>
      </c>
      <c r="E129" s="237"/>
      <c r="F129" s="238" t="e" cm="1">
        <f t="array" ref="F129">Default_STM_Param(5000,F$126)</f>
        <v>#NAME?</v>
      </c>
      <c r="G129" s="238" t="e" cm="1">
        <f t="array" ref="G129">Default_STM_Param(5000,G$126)</f>
        <v>#NAME?</v>
      </c>
      <c r="H129" s="238" t="e" cm="1">
        <f t="array" ref="H129">Default_STM_Param(5000,H$126)</f>
        <v>#NAME?</v>
      </c>
      <c r="I129" s="238" t="e" cm="1">
        <f t="array" ref="I129">Default_STM_Param(5000,I$126)</f>
        <v>#NAME?</v>
      </c>
      <c r="J129" s="238" t="e" cm="1">
        <f t="array" ref="J129">Default_STM_Param(5000,J$126)</f>
        <v>#NAME?</v>
      </c>
      <c r="K129" s="238" t="e" cm="1">
        <f t="array" ref="K129">Default_STM_Param(5000,K$126)</f>
        <v>#NAME?</v>
      </c>
      <c r="L129" s="238" t="e" cm="1">
        <f t="array" ref="L129">Default_STM_Param(5000,L$126)</f>
        <v>#NAME?</v>
      </c>
      <c r="M129" s="238" t="e" cm="1">
        <f t="array" ref="M129">Default_STM_Param(5000,M$126)</f>
        <v>#NAME?</v>
      </c>
      <c r="N129" s="238" t="e" cm="1">
        <f t="array" ref="N129">Default_STM_Param(5000,N$126)</f>
        <v>#NAME?</v>
      </c>
      <c r="O129" s="238" t="e" cm="1">
        <f t="array" ref="O129">Default_STM_Param(5000,O$126)</f>
        <v>#NAME?</v>
      </c>
      <c r="P129" s="238" t="e" cm="1">
        <f t="array" ref="P129">Default_STM_Param(5000,P$126)</f>
        <v>#NAME?</v>
      </c>
      <c r="Q129" s="239" t="e" cm="1">
        <f t="array" ref="Q129">Default_STM_Param(5000,Q$126)</f>
        <v>#NAME?</v>
      </c>
    </row>
    <row r="130" ht="16.4" customHeight="1" spans="1:17">
      <c r="A130" s="1" t="s">
        <v>244</v>
      </c>
      <c r="B130" s="192" t="s">
        <v>245</v>
      </c>
      <c r="C130" s="234">
        <v>5040080</v>
      </c>
      <c r="D130" s="240" t="s">
        <v>246</v>
      </c>
      <c r="E130" s="237"/>
      <c r="F130" s="235" t="e" cm="1">
        <f t="array" ref="F130">Default_STM_Param(47,F126)</f>
        <v>#NAME?</v>
      </c>
      <c r="G130" s="241" t="e" cm="1">
        <f t="array" ref="G130">Default_STM_Param(47,G126)</f>
        <v>#NAME?</v>
      </c>
      <c r="H130" s="241" t="e" cm="1">
        <f t="array" ref="H130">Default_STM_Param(47,H126)</f>
        <v>#NAME?</v>
      </c>
      <c r="I130" s="241" t="e" cm="1">
        <f t="array" ref="I130">Default_STM_Param(47,I126)</f>
        <v>#NAME?</v>
      </c>
      <c r="J130" s="241" t="e" cm="1">
        <f t="array" ref="J130">Default_STM_Param(47,J126)</f>
        <v>#NAME?</v>
      </c>
      <c r="K130" s="241" t="e" cm="1">
        <f t="array" ref="K130">Default_STM_Param(47,K126)</f>
        <v>#NAME?</v>
      </c>
      <c r="L130" s="241" t="e" cm="1">
        <f t="array" ref="L130">Default_STM_Param(47,L126)</f>
        <v>#NAME?</v>
      </c>
      <c r="M130" s="241" t="e" cm="1">
        <f t="array" ref="M130">Default_STM_Param(47,M126)</f>
        <v>#NAME?</v>
      </c>
      <c r="N130" s="241" t="e" cm="1">
        <f t="array" ref="N130">Default_STM_Param(47,N126)</f>
        <v>#NAME?</v>
      </c>
      <c r="O130" s="241" t="e" cm="1">
        <f t="array" ref="O130">Default_STM_Param(47,O126)</f>
        <v>#NAME?</v>
      </c>
      <c r="P130" s="241" t="e" cm="1">
        <f t="array" ref="P130">Default_STM_Param(47,P126)</f>
        <v>#NAME?</v>
      </c>
      <c r="Q130" s="242" t="e" cm="1">
        <f t="array" ref="Q130">Default_STM_Param(47,Q126)</f>
        <v>#NAME?</v>
      </c>
    </row>
    <row r="131" ht="16.4" customHeight="1" spans="1:17">
      <c r="A131" s="1" t="s">
        <v>247</v>
      </c>
      <c r="B131" s="192"/>
      <c r="C131" s="234"/>
      <c r="D131" s="34" t="s">
        <v>248</v>
      </c>
      <c r="E131" s="237"/>
      <c r="F131" s="235" t="e" cm="1">
        <f t="array" ref="F131">Default_STM_Param(51,F126)</f>
        <v>#NAME?</v>
      </c>
      <c r="G131" s="235" t="e" cm="1">
        <f t="array" ref="G131">Default_STM_Param(51,G126)</f>
        <v>#NAME?</v>
      </c>
      <c r="H131" s="235" t="e" cm="1">
        <f t="array" ref="H131">Default_STM_Param(51,H126)</f>
        <v>#NAME?</v>
      </c>
      <c r="I131" s="235" t="e" cm="1">
        <f t="array" ref="I131">Default_STM_Param(51,I126)</f>
        <v>#NAME?</v>
      </c>
      <c r="J131" s="235" t="e" cm="1">
        <f t="array" ref="J131">Default_STM_Param(51,J126)</f>
        <v>#NAME?</v>
      </c>
      <c r="K131" s="235" t="e" cm="1">
        <f t="array" ref="K131">Default_STM_Param(51,K126)</f>
        <v>#NAME?</v>
      </c>
      <c r="L131" s="235" t="e" cm="1">
        <f t="array" ref="L131">Default_STM_Param(51,L126)</f>
        <v>#NAME?</v>
      </c>
      <c r="M131" s="235" t="e" cm="1">
        <f t="array" ref="M131">Default_STM_Param(51,M126)</f>
        <v>#NAME?</v>
      </c>
      <c r="N131" s="235" t="e" cm="1">
        <f t="array" ref="N131">Default_STM_Param(51,N126)</f>
        <v>#NAME?</v>
      </c>
      <c r="O131" s="235" t="e" cm="1">
        <f t="array" ref="O131">Default_STM_Param(51,O126)</f>
        <v>#NAME?</v>
      </c>
      <c r="P131" s="235" t="e" cm="1">
        <f t="array" ref="P131">Default_STM_Param(51,P126)</f>
        <v>#NAME?</v>
      </c>
      <c r="Q131" s="84" t="e" cm="1">
        <f t="array" ref="Q131">Default_STM_Param(51,Q126)</f>
        <v>#NAME?</v>
      </c>
    </row>
    <row r="132" ht="16.4" customHeight="1" spans="1:17">
      <c r="A132" s="1" t="s">
        <v>247</v>
      </c>
      <c r="B132" s="192"/>
      <c r="C132" s="234"/>
      <c r="D132" s="16" t="s">
        <v>249</v>
      </c>
      <c r="E132" s="237"/>
      <c r="F132" s="235" t="e" cm="1">
        <f t="array" ref="F132">Default_STM_Param(52,F126)</f>
        <v>#NAME?</v>
      </c>
      <c r="G132" s="235" t="e" cm="1">
        <f t="array" ref="G132">Default_STM_Param(52,G126)</f>
        <v>#NAME?</v>
      </c>
      <c r="H132" s="235" t="e" cm="1">
        <f t="array" ref="H132">Default_STM_Param(52,H126)</f>
        <v>#NAME?</v>
      </c>
      <c r="I132" s="235" t="e" cm="1">
        <f t="array" ref="I132">Default_STM_Param(52,I126)</f>
        <v>#NAME?</v>
      </c>
      <c r="J132" s="235" t="e" cm="1">
        <f t="array" ref="J132">Default_STM_Param(52,J126)</f>
        <v>#NAME?</v>
      </c>
      <c r="K132" s="235" t="e" cm="1">
        <f t="array" ref="K132">Default_STM_Param(52,K126)</f>
        <v>#NAME?</v>
      </c>
      <c r="L132" s="235" t="e" cm="1">
        <f t="array" ref="L132">Default_STM_Param(52,L126)</f>
        <v>#NAME?</v>
      </c>
      <c r="M132" s="235" t="e" cm="1">
        <f t="array" ref="M132">Default_STM_Param(52,M126)</f>
        <v>#NAME?</v>
      </c>
      <c r="N132" s="235" t="e" cm="1">
        <f t="array" ref="N132">Default_STM_Param(52,N126)</f>
        <v>#NAME?</v>
      </c>
      <c r="O132" s="235" t="e" cm="1">
        <f t="array" ref="O132">Default_STM_Param(52,O126)</f>
        <v>#NAME?</v>
      </c>
      <c r="P132" s="235" t="e" cm="1">
        <f t="array" ref="P132">Default_STM_Param(52,P126)</f>
        <v>#NAME?</v>
      </c>
      <c r="Q132" s="84" t="e" cm="1">
        <f t="array" ref="Q132">Default_STM_Param(52,Q126)</f>
        <v>#NAME?</v>
      </c>
    </row>
    <row r="133" ht="16.4" customHeight="1" spans="1:17">
      <c r="A133" s="1" t="s">
        <v>244</v>
      </c>
      <c r="B133" s="192" t="s">
        <v>250</v>
      </c>
      <c r="C133" s="234">
        <v>5040090</v>
      </c>
      <c r="D133" s="240" t="s">
        <v>251</v>
      </c>
      <c r="E133" s="237"/>
      <c r="F133" s="235" t="e" cm="1">
        <f t="array" ref="F133">Default_STM_Param(48,F126)</f>
        <v>#NAME?</v>
      </c>
      <c r="G133" s="241" t="e" cm="1">
        <f t="array" ref="G133">Default_STM_Param(48,G126)</f>
        <v>#NAME?</v>
      </c>
      <c r="H133" s="241" t="e" cm="1">
        <f t="array" ref="H133">Default_STM_Param(48,H126)</f>
        <v>#NAME?</v>
      </c>
      <c r="I133" s="241" t="e" cm="1">
        <f t="array" ref="I133">Default_STM_Param(48,I126)</f>
        <v>#NAME?</v>
      </c>
      <c r="J133" s="241" t="e" cm="1">
        <f t="array" ref="J133">Default_STM_Param(48,J126)</f>
        <v>#NAME?</v>
      </c>
      <c r="K133" s="241" t="e" cm="1">
        <f t="array" ref="K133">Default_STM_Param(48,K126)</f>
        <v>#NAME?</v>
      </c>
      <c r="L133" s="241" t="e" cm="1">
        <f t="array" ref="L133">Default_STM_Param(48,L126)</f>
        <v>#NAME?</v>
      </c>
      <c r="M133" s="241" t="e" cm="1">
        <f t="array" ref="M133">Default_STM_Param(48,M126)</f>
        <v>#NAME?</v>
      </c>
      <c r="N133" s="241" t="e" cm="1">
        <f t="array" ref="N133">Default_STM_Param(48,N126)</f>
        <v>#NAME?</v>
      </c>
      <c r="O133" s="241" t="e" cm="1">
        <f t="array" ref="O133">Default_STM_Param(48,O126)</f>
        <v>#NAME?</v>
      </c>
      <c r="P133" s="241" t="e" cm="1">
        <f t="array" ref="P133">Default_STM_Param(48,P126)</f>
        <v>#NAME?</v>
      </c>
      <c r="Q133" s="242" t="e" cm="1">
        <f t="array" ref="Q133">Default_STM_Param(48,Q126)</f>
        <v>#NAME?</v>
      </c>
    </row>
    <row r="134" ht="16.4" customHeight="1" spans="1:17">
      <c r="A134" s="1" t="s">
        <v>252</v>
      </c>
      <c r="B134" s="192"/>
      <c r="C134" s="243"/>
      <c r="D134" s="240" t="s">
        <v>253</v>
      </c>
      <c r="E134" s="237"/>
      <c r="F134" s="235" t="e" cm="1">
        <f t="array" ref="F134">Default_STM_Param(50,F126)</f>
        <v>#NAME?</v>
      </c>
      <c r="G134" s="235" t="e" cm="1">
        <f t="array" ref="G134">Default_STM_Param(50,G126)</f>
        <v>#NAME?</v>
      </c>
      <c r="H134" s="235" t="e" cm="1">
        <f t="array" ref="H134">Default_STM_Param(50,H126)</f>
        <v>#NAME?</v>
      </c>
      <c r="I134" s="235" t="e" cm="1">
        <f t="array" ref="I134">Default_STM_Param(50,I126)</f>
        <v>#NAME?</v>
      </c>
      <c r="J134" s="235" t="e" cm="1">
        <f t="array" ref="J134">Default_STM_Param(50,J126)</f>
        <v>#NAME?</v>
      </c>
      <c r="K134" s="235" t="e" cm="1">
        <f t="array" ref="K134">Default_STM_Param(50,K126)</f>
        <v>#NAME?</v>
      </c>
      <c r="L134" s="235" t="e" cm="1">
        <f t="array" ref="L134">Default_STM_Param(50,L126)</f>
        <v>#NAME?</v>
      </c>
      <c r="M134" s="235" t="e" cm="1">
        <f t="array" ref="M134">Default_STM_Param(50,M126)</f>
        <v>#NAME?</v>
      </c>
      <c r="N134" s="235" t="e" cm="1">
        <f t="array" ref="N134">Default_STM_Param(50,N126)</f>
        <v>#NAME?</v>
      </c>
      <c r="O134" s="235" t="e" cm="1">
        <f t="array" ref="O134">Default_STM_Param(50,O126)</f>
        <v>#NAME?</v>
      </c>
      <c r="P134" s="235" t="e" cm="1">
        <f t="array" ref="P134">Default_STM_Param(50,P126)</f>
        <v>#NAME?</v>
      </c>
      <c r="Q134" s="84" t="e" cm="1">
        <f t="array" ref="Q134">Default_STM_Param(50,Q126)</f>
        <v>#NAME?</v>
      </c>
    </row>
    <row r="135" ht="16.4" customHeight="1" spans="1:17">
      <c r="A135" s="1" t="s">
        <v>254</v>
      </c>
      <c r="B135" s="192" t="s">
        <v>255</v>
      </c>
      <c r="C135" s="243">
        <v>5040030</v>
      </c>
      <c r="D135" s="240" t="s">
        <v>256</v>
      </c>
      <c r="E135" s="237"/>
      <c r="F135" s="238" t="e" cm="1">
        <f t="array" ref="F135">Default_STM_Param(3,F126)</f>
        <v>#NAME?</v>
      </c>
      <c r="G135" s="238" t="e" cm="1">
        <f t="array" ref="G135">Default_STM_Param(3,G126)</f>
        <v>#NAME?</v>
      </c>
      <c r="H135" s="238" t="e" cm="1">
        <f t="array" ref="H135">Default_STM_Param(3,H126)</f>
        <v>#NAME?</v>
      </c>
      <c r="I135" s="238" t="e" cm="1">
        <f t="array" ref="I135">Default_STM_Param(3,I126)</f>
        <v>#NAME?</v>
      </c>
      <c r="J135" s="238" t="e" cm="1">
        <f t="array" ref="J135">Default_STM_Param(3,J126)</f>
        <v>#NAME?</v>
      </c>
      <c r="K135" s="238" t="e" cm="1">
        <f t="array" ref="K135">Default_STM_Param(3,K126)</f>
        <v>#NAME?</v>
      </c>
      <c r="L135" s="238" t="e" cm="1">
        <f t="array" ref="L135">Default_STM_Param(3,L126)</f>
        <v>#NAME?</v>
      </c>
      <c r="M135" s="238" t="e" cm="1">
        <f t="array" ref="M135">Default_STM_Param(3,M126)</f>
        <v>#NAME?</v>
      </c>
      <c r="N135" s="238" t="e" cm="1">
        <f t="array" ref="N135">Default_STM_Param(3,N126)</f>
        <v>#NAME?</v>
      </c>
      <c r="O135" s="238" t="e" cm="1">
        <f t="array" ref="O135">Default_STM_Param(3,O126)</f>
        <v>#NAME?</v>
      </c>
      <c r="P135" s="238" t="e" cm="1">
        <f t="array" ref="P135">Default_STM_Param(3,P126)</f>
        <v>#NAME?</v>
      </c>
      <c r="Q135" s="239" t="e" cm="1">
        <f t="array" ref="Q135">Default_STM_Param(3,Q126)</f>
        <v>#NAME?</v>
      </c>
    </row>
    <row r="136" ht="16.4" customHeight="1" spans="1:17">
      <c r="A136" s="1" t="s">
        <v>254</v>
      </c>
      <c r="B136" s="85"/>
      <c r="C136" s="33"/>
      <c r="D136" s="34" t="s">
        <v>257</v>
      </c>
      <c r="E136" s="237"/>
      <c r="F136" s="238" t="e" cm="1">
        <f t="array" ref="F136">Default_STM_Param(4,F126)</f>
        <v>#NAME?</v>
      </c>
      <c r="G136" s="238" t="e" cm="1">
        <f t="array" ref="G136">Default_STM_Param(4,G126)</f>
        <v>#NAME?</v>
      </c>
      <c r="H136" s="238" t="e" cm="1">
        <f t="array" ref="H136">Default_STM_Param(4,H126)</f>
        <v>#NAME?</v>
      </c>
      <c r="I136" s="238" t="e" cm="1">
        <f t="array" ref="I136">Default_STM_Param(4,I126)</f>
        <v>#NAME?</v>
      </c>
      <c r="J136" s="238" t="e" cm="1">
        <f t="array" ref="J136">Default_STM_Param(4,J126)</f>
        <v>#NAME?</v>
      </c>
      <c r="K136" s="238" t="e" cm="1">
        <f t="array" ref="K136">Default_STM_Param(4,K126)</f>
        <v>#NAME?</v>
      </c>
      <c r="L136" s="238" t="e" cm="1">
        <f t="array" ref="L136">Default_STM_Param(4,L126)</f>
        <v>#NAME?</v>
      </c>
      <c r="M136" s="238" t="e" cm="1">
        <f t="array" ref="M136">Default_STM_Param(4,M126)</f>
        <v>#NAME?</v>
      </c>
      <c r="N136" s="238" t="e" cm="1">
        <f t="array" ref="N136">Default_STM_Param(4,N126)</f>
        <v>#NAME?</v>
      </c>
      <c r="O136" s="238" t="e" cm="1">
        <f t="array" ref="O136">Default_STM_Param(4,O126)</f>
        <v>#NAME?</v>
      </c>
      <c r="P136" s="238" t="e" cm="1">
        <f t="array" ref="P136">Default_STM_Param(4,P126)</f>
        <v>#NAME?</v>
      </c>
      <c r="Q136" s="239" t="e" cm="1">
        <f t="array" ref="Q136">Default_STM_Param(4,Q126)</f>
        <v>#NAME?</v>
      </c>
    </row>
    <row r="137" ht="16.4" customHeight="1" spans="1:17">
      <c r="A137" s="1" t="s">
        <v>254</v>
      </c>
      <c r="B137" s="85" t="s">
        <v>258</v>
      </c>
      <c r="C137" s="33">
        <v>5040050</v>
      </c>
      <c r="D137" s="34" t="s">
        <v>259</v>
      </c>
      <c r="E137" s="237"/>
      <c r="F137" s="238" t="e" cm="1">
        <f t="array" ref="F137">Default_STM_Param(5,F126)</f>
        <v>#NAME?</v>
      </c>
      <c r="G137" s="238" t="e" cm="1">
        <f t="array" ref="G137">Default_STM_Param(5,G126)</f>
        <v>#NAME?</v>
      </c>
      <c r="H137" s="238" t="e" cm="1">
        <f t="array" ref="H137">Default_STM_Param(5,H126)</f>
        <v>#NAME?</v>
      </c>
      <c r="I137" s="238" t="e" cm="1">
        <f t="array" ref="I137">Default_STM_Param(5,I126)</f>
        <v>#NAME?</v>
      </c>
      <c r="J137" s="238" t="e" cm="1">
        <f t="array" ref="J137">Default_STM_Param(5,J126)</f>
        <v>#NAME?</v>
      </c>
      <c r="K137" s="238" t="e" cm="1">
        <f t="array" ref="K137">Default_STM_Param(5,K126)</f>
        <v>#NAME?</v>
      </c>
      <c r="L137" s="238" t="e" cm="1">
        <f t="array" ref="L137">Default_STM_Param(5,L126)</f>
        <v>#NAME?</v>
      </c>
      <c r="M137" s="238" t="e" cm="1">
        <f t="array" ref="M137">Default_STM_Param(5,M126)</f>
        <v>#NAME?</v>
      </c>
      <c r="N137" s="238" t="e" cm="1">
        <f t="array" ref="N137">Default_STM_Param(5,N126)</f>
        <v>#NAME?</v>
      </c>
      <c r="O137" s="238" t="e" cm="1">
        <f t="array" ref="O137">Default_STM_Param(5,O126)</f>
        <v>#NAME?</v>
      </c>
      <c r="P137" s="238" t="e" cm="1">
        <f t="array" ref="P137">Default_STM_Param(5,P126)</f>
        <v>#NAME?</v>
      </c>
      <c r="Q137" s="239" t="e" cm="1">
        <f t="array" ref="Q137">Default_STM_Param(5,Q126)</f>
        <v>#NAME?</v>
      </c>
    </row>
    <row r="138" ht="16.4" customHeight="1" spans="1:17">
      <c r="A138" s="1" t="s">
        <v>254</v>
      </c>
      <c r="B138" s="85"/>
      <c r="C138" s="33"/>
      <c r="D138" s="34" t="s">
        <v>260</v>
      </c>
      <c r="E138" s="237"/>
      <c r="F138" s="238" t="e" cm="1">
        <f t="array" ref="F138">Default_STM_Param(6,F126)</f>
        <v>#NAME?</v>
      </c>
      <c r="G138" s="238" t="e" cm="1">
        <f t="array" ref="G138">Default_STM_Param(6,G126)</f>
        <v>#NAME?</v>
      </c>
      <c r="H138" s="238" t="e" cm="1">
        <f t="array" ref="H138">Default_STM_Param(6,H126)</f>
        <v>#NAME?</v>
      </c>
      <c r="I138" s="238" t="e" cm="1">
        <f t="array" ref="I138">Default_STM_Param(6,I126)</f>
        <v>#NAME?</v>
      </c>
      <c r="J138" s="238" t="e" cm="1">
        <f t="array" ref="J138">Default_STM_Param(6,J126)</f>
        <v>#NAME?</v>
      </c>
      <c r="K138" s="238" t="e" cm="1">
        <f t="array" ref="K138">Default_STM_Param(6,K126)</f>
        <v>#NAME?</v>
      </c>
      <c r="L138" s="238" t="e" cm="1">
        <f t="array" ref="L138">Default_STM_Param(6,L126)</f>
        <v>#NAME?</v>
      </c>
      <c r="M138" s="238" t="e" cm="1">
        <f t="array" ref="M138">Default_STM_Param(6,M126)</f>
        <v>#NAME?</v>
      </c>
      <c r="N138" s="238" t="e" cm="1">
        <f t="array" ref="N138">Default_STM_Param(6,N126)</f>
        <v>#NAME?</v>
      </c>
      <c r="O138" s="238" t="e" cm="1">
        <f t="array" ref="O138">Default_STM_Param(6,O126)</f>
        <v>#NAME?</v>
      </c>
      <c r="P138" s="238" t="e" cm="1">
        <f t="array" ref="P138">Default_STM_Param(6,P126)</f>
        <v>#NAME?</v>
      </c>
      <c r="Q138" s="239" t="e" cm="1">
        <f t="array" ref="Q138">Default_STM_Param(6,Q126)</f>
        <v>#NAME?</v>
      </c>
    </row>
    <row r="139" ht="16.4" customHeight="1" spans="1:17">
      <c r="A139" s="1" t="s">
        <v>254</v>
      </c>
      <c r="B139" s="85" t="s">
        <v>261</v>
      </c>
      <c r="C139" s="33">
        <v>5040060</v>
      </c>
      <c r="D139" s="34" t="s">
        <v>262</v>
      </c>
      <c r="E139" s="237"/>
      <c r="F139" s="238" t="e" cm="1">
        <f t="array" ref="F139">Default_STM_Param(7,F126)</f>
        <v>#NAME?</v>
      </c>
      <c r="G139" s="238" t="e" cm="1">
        <f t="array" ref="G139">Default_STM_Param(7,G126)</f>
        <v>#NAME?</v>
      </c>
      <c r="H139" s="238" t="e" cm="1">
        <f t="array" ref="H139">Default_STM_Param(7,H126)</f>
        <v>#NAME?</v>
      </c>
      <c r="I139" s="238" t="e" cm="1">
        <f t="array" ref="I139">Default_STM_Param(7,I126)</f>
        <v>#NAME?</v>
      </c>
      <c r="J139" s="238" t="e" cm="1">
        <f t="array" ref="J139">Default_STM_Param(7,J126)</f>
        <v>#NAME?</v>
      </c>
      <c r="K139" s="238" t="e" cm="1">
        <f t="array" ref="K139">Default_STM_Param(7,K126)</f>
        <v>#NAME?</v>
      </c>
      <c r="L139" s="238" t="e" cm="1">
        <f t="array" ref="L139">Default_STM_Param(7,L126)</f>
        <v>#NAME?</v>
      </c>
      <c r="M139" s="238" t="e" cm="1">
        <f t="array" ref="M139">Default_STM_Param(7,M126)</f>
        <v>#NAME?</v>
      </c>
      <c r="N139" s="238" t="e" cm="1">
        <f t="array" ref="N139">Default_STM_Param(7,N126)</f>
        <v>#NAME?</v>
      </c>
      <c r="O139" s="238" t="e" cm="1">
        <f t="array" ref="O139">Default_STM_Param(7,O126)</f>
        <v>#NAME?</v>
      </c>
      <c r="P139" s="238" t="e" cm="1">
        <f t="array" ref="P139">Default_STM_Param(7,P126)</f>
        <v>#NAME?</v>
      </c>
      <c r="Q139" s="239" t="e" cm="1">
        <f t="array" ref="Q139">Default_STM_Param(7,Q126)</f>
        <v>#NAME?</v>
      </c>
    </row>
    <row r="140" ht="16.4" customHeight="1" spans="1:17">
      <c r="A140" s="1" t="s">
        <v>254</v>
      </c>
      <c r="B140" s="85"/>
      <c r="C140" s="33"/>
      <c r="D140" s="34" t="s">
        <v>263</v>
      </c>
      <c r="E140" s="244"/>
      <c r="F140" s="238" t="e" cm="1">
        <f t="array" ref="F140">Default_STM_Param(8,F126)</f>
        <v>#NAME?</v>
      </c>
      <c r="G140" s="238" t="e" cm="1">
        <f t="array" ref="G140">Default_STM_Param(8,G126)</f>
        <v>#NAME?</v>
      </c>
      <c r="H140" s="238" t="e" cm="1">
        <f t="array" ref="H140">Default_STM_Param(8,H126)</f>
        <v>#NAME?</v>
      </c>
      <c r="I140" s="238" t="e" cm="1">
        <f t="array" ref="I140">Default_STM_Param(8,I126)</f>
        <v>#NAME?</v>
      </c>
      <c r="J140" s="238" t="e" cm="1">
        <f t="array" ref="J140">Default_STM_Param(8,J126)</f>
        <v>#NAME?</v>
      </c>
      <c r="K140" s="238" t="e" cm="1">
        <f t="array" ref="K140">Default_STM_Param(8,K126)</f>
        <v>#NAME?</v>
      </c>
      <c r="L140" s="238" t="e" cm="1">
        <f t="array" ref="L140">Default_STM_Param(8,L126)</f>
        <v>#NAME?</v>
      </c>
      <c r="M140" s="238" t="e" cm="1">
        <f t="array" ref="M140">Default_STM_Param(8,M126)</f>
        <v>#NAME?</v>
      </c>
      <c r="N140" s="238" t="e" cm="1">
        <f t="array" ref="N140">Default_STM_Param(8,N126)</f>
        <v>#NAME?</v>
      </c>
      <c r="O140" s="238" t="e" cm="1">
        <f t="array" ref="O140">Default_STM_Param(8,O126)</f>
        <v>#NAME?</v>
      </c>
      <c r="P140" s="238" t="e" cm="1">
        <f t="array" ref="P140">Default_STM_Param(8,P126)</f>
        <v>#NAME?</v>
      </c>
      <c r="Q140" s="239" t="e" cm="1">
        <f t="array" ref="Q140">Default_STM_Param(8,Q126)</f>
        <v>#NAME?</v>
      </c>
    </row>
    <row r="141" ht="16.4" customHeight="1" spans="1:17">
      <c r="A141" s="1" t="s">
        <v>254</v>
      </c>
      <c r="B141" s="85" t="s">
        <v>264</v>
      </c>
      <c r="C141" s="33">
        <v>5040070</v>
      </c>
      <c r="D141" s="34" t="s">
        <v>265</v>
      </c>
      <c r="E141" s="237"/>
      <c r="F141" s="238" t="e" cm="1">
        <f t="array" ref="F141">Default_STM_Param(9,F126)</f>
        <v>#NAME?</v>
      </c>
      <c r="G141" s="238" t="e" cm="1">
        <f t="array" ref="G141">Default_STM_Param(9,G126)</f>
        <v>#NAME?</v>
      </c>
      <c r="H141" s="238" t="e" cm="1">
        <f t="array" ref="H141">Default_STM_Param(9,H126)</f>
        <v>#NAME?</v>
      </c>
      <c r="I141" s="238" t="e" cm="1">
        <f t="array" ref="I141">Default_STM_Param(9,I126)</f>
        <v>#NAME?</v>
      </c>
      <c r="J141" s="238" t="e" cm="1">
        <f t="array" ref="J141">Default_STM_Param(9,J126)</f>
        <v>#NAME?</v>
      </c>
      <c r="K141" s="238" t="e" cm="1">
        <f t="array" ref="K141">Default_STM_Param(9,K126)</f>
        <v>#NAME?</v>
      </c>
      <c r="L141" s="238" t="e" cm="1">
        <f t="array" ref="L141">Default_STM_Param(9,L126)</f>
        <v>#NAME?</v>
      </c>
      <c r="M141" s="238" t="e" cm="1">
        <f t="array" ref="M141">Default_STM_Param(9,M126)</f>
        <v>#NAME?</v>
      </c>
      <c r="N141" s="238" t="e" cm="1">
        <f t="array" ref="N141">Default_STM_Param(9,N126)</f>
        <v>#NAME?</v>
      </c>
      <c r="O141" s="238" t="e" cm="1">
        <f t="array" ref="O141">Default_STM_Param(9,O126)</f>
        <v>#NAME?</v>
      </c>
      <c r="P141" s="238" t="e" cm="1">
        <f t="array" ref="P141">Default_STM_Param(9,P126)</f>
        <v>#NAME?</v>
      </c>
      <c r="Q141" s="239" t="e" cm="1">
        <f t="array" ref="Q141">Default_STM_Param(9,Q126)</f>
        <v>#NAME?</v>
      </c>
    </row>
    <row r="142" ht="16.4" customHeight="1" spans="1:17">
      <c r="A142" s="1" t="s">
        <v>266</v>
      </c>
      <c r="B142" s="192"/>
      <c r="C142" s="245"/>
      <c r="D142" s="240" t="s">
        <v>267</v>
      </c>
      <c r="E142" s="237"/>
      <c r="F142" s="238" t="s">
        <v>268</v>
      </c>
      <c r="G142" s="238" t="e" cm="1">
        <f t="array" ref="G142">Default_STM_Param(10,G126)</f>
        <v>#NAME?</v>
      </c>
      <c r="H142" s="238" t="e" cm="1">
        <f t="array" ref="H142">Default_STM_Param(10,H126)</f>
        <v>#NAME?</v>
      </c>
      <c r="I142" s="238" t="e" cm="1">
        <f t="array" ref="I142">Default_STM_Param(10,I126)</f>
        <v>#NAME?</v>
      </c>
      <c r="J142" s="238" t="e" cm="1">
        <f t="array" ref="J142">Default_STM_Param(10,J126)</f>
        <v>#NAME?</v>
      </c>
      <c r="K142" s="238" t="e" cm="1">
        <f t="array" ref="K142">Default_STM_Param(10,K126)</f>
        <v>#NAME?</v>
      </c>
      <c r="L142" s="238" t="e" cm="1">
        <f t="array" ref="L142">Default_STM_Param(10,L126)</f>
        <v>#NAME?</v>
      </c>
      <c r="M142" s="238" t="e" cm="1">
        <f t="array" ref="M142">Default_STM_Param(10,M126)</f>
        <v>#NAME?</v>
      </c>
      <c r="N142" s="238" t="e" cm="1">
        <f t="array" ref="N142">Default_STM_Param(10,N126)</f>
        <v>#NAME?</v>
      </c>
      <c r="O142" s="238" t="e" cm="1">
        <f t="array" ref="O142">Default_STM_Param(10,O126)</f>
        <v>#NAME?</v>
      </c>
      <c r="P142" s="238" t="e" cm="1">
        <f t="array" ref="P142">Default_STM_Param(10,P126)</f>
        <v>#NAME?</v>
      </c>
      <c r="Q142" s="239" t="e" cm="1">
        <f t="array" ref="Q142">Default_STM_Param(10,Q126)</f>
        <v>#NAME?</v>
      </c>
    </row>
    <row r="143" ht="16.4" customHeight="1" spans="1:17">
      <c r="A143" s="1" t="s">
        <v>269</v>
      </c>
      <c r="B143" s="192"/>
      <c r="C143" s="245"/>
      <c r="D143" s="240" t="s">
        <v>270</v>
      </c>
      <c r="E143" s="237"/>
      <c r="F143" s="238" t="s">
        <v>83</v>
      </c>
      <c r="G143" s="238" t="e" cm="1">
        <f t="array" ref="G143">Default_STM_Param(53,G126)</f>
        <v>#NAME?</v>
      </c>
      <c r="H143" s="238" t="e" cm="1">
        <f t="array" ref="H143">Default_STM_Param(53,H126)</f>
        <v>#NAME?</v>
      </c>
      <c r="I143" s="238" t="e" cm="1">
        <f t="array" ref="I143">Default_STM_Param(53,I126)</f>
        <v>#NAME?</v>
      </c>
      <c r="J143" s="238" t="e" cm="1">
        <f t="array" ref="J143">Default_STM_Param(53,J126)</f>
        <v>#NAME?</v>
      </c>
      <c r="K143" s="238" t="e" cm="1">
        <f t="array" ref="K143">Default_STM_Param(53,K126)</f>
        <v>#NAME?</v>
      </c>
      <c r="L143" s="238" t="e" cm="1">
        <f t="array" ref="L143">Default_STM_Param(53,L126)</f>
        <v>#NAME?</v>
      </c>
      <c r="M143" s="238" t="e" cm="1">
        <f t="array" ref="M143">Default_STM_Param(53,M126)</f>
        <v>#NAME?</v>
      </c>
      <c r="N143" s="238" t="e" cm="1">
        <f t="array" ref="N143">Default_STM_Param(53,N126)</f>
        <v>#NAME?</v>
      </c>
      <c r="O143" s="238" t="e" cm="1">
        <f t="array" ref="O143">Default_STM_Param(53,O126)</f>
        <v>#NAME?</v>
      </c>
      <c r="P143" s="238" t="e" cm="1">
        <f t="array" ref="P143">Default_STM_Param(53,P126)</f>
        <v>#NAME?</v>
      </c>
      <c r="Q143" s="239" t="e" cm="1">
        <f t="array" ref="Q143">Default_STM_Param(53,Q126)</f>
        <v>#NAME?</v>
      </c>
    </row>
    <row r="144" ht="16.4" customHeight="1" spans="1:17">
      <c r="A144" s="1" t="s">
        <v>269</v>
      </c>
      <c r="B144" s="192"/>
      <c r="C144" s="245"/>
      <c r="D144" s="240" t="s">
        <v>271</v>
      </c>
      <c r="E144" s="237"/>
      <c r="F144" s="238" t="e" cm="1">
        <f t="array" ref="F144">Default_STM_Param(54,F126)</f>
        <v>#NAME?</v>
      </c>
      <c r="G144" s="238" t="e" cm="1">
        <f t="array" ref="G144">Default_STM_Param(54,G126)</f>
        <v>#NAME?</v>
      </c>
      <c r="H144" s="238" t="e" cm="1">
        <f t="array" ref="H144">Default_STM_Param(54,H126)</f>
        <v>#NAME?</v>
      </c>
      <c r="I144" s="238" t="e" cm="1">
        <f t="array" ref="I144">Default_STM_Param(54,I126)</f>
        <v>#NAME?</v>
      </c>
      <c r="J144" s="238" t="e" cm="1">
        <f t="array" ref="J144">Default_STM_Param(54,J126)</f>
        <v>#NAME?</v>
      </c>
      <c r="K144" s="238" t="e" cm="1">
        <f t="array" ref="K144">Default_STM_Param(54,K126)</f>
        <v>#NAME?</v>
      </c>
      <c r="L144" s="238" t="e" cm="1">
        <f t="array" ref="L144">Default_STM_Param(54,L126)</f>
        <v>#NAME?</v>
      </c>
      <c r="M144" s="238" t="e" cm="1">
        <f t="array" ref="M144">Default_STM_Param(54,M126)</f>
        <v>#NAME?</v>
      </c>
      <c r="N144" s="238" t="e" cm="1">
        <f t="array" ref="N144">Default_STM_Param(54,N126)</f>
        <v>#NAME?</v>
      </c>
      <c r="O144" s="238" t="e" cm="1">
        <f t="array" ref="O144">Default_STM_Param(54,O126)</f>
        <v>#NAME?</v>
      </c>
      <c r="P144" s="238" t="e" cm="1">
        <f t="array" ref="P144">Default_STM_Param(54,P126)</f>
        <v>#NAME?</v>
      </c>
      <c r="Q144" s="239" t="e" cm="1">
        <f t="array" ref="Q144">Default_STM_Param(54,Q126)</f>
        <v>#NAME?</v>
      </c>
    </row>
    <row r="145" ht="16.4" customHeight="1" spans="1:20">
      <c r="A145" s="1" t="s">
        <v>272</v>
      </c>
      <c r="B145" s="192"/>
      <c r="C145" s="245"/>
      <c r="D145" s="240" t="s">
        <v>273</v>
      </c>
      <c r="E145" s="237"/>
      <c r="F145" s="238" t="e" cm="1">
        <f t="array" ref="F145">Default_STM_Param(12,F126)</f>
        <v>#NAME?</v>
      </c>
      <c r="G145" s="238" t="e" cm="1">
        <f t="array" ref="G145">Default_STM_Param(12,G126)</f>
        <v>#NAME?</v>
      </c>
      <c r="H145" s="238" t="e" cm="1">
        <f t="array" ref="H145">Default_STM_Param(12,H126)</f>
        <v>#NAME?</v>
      </c>
      <c r="I145" s="238" t="e" cm="1">
        <f t="array" ref="I145">Default_STM_Param(12,I126)</f>
        <v>#NAME?</v>
      </c>
      <c r="J145" s="238" t="e" cm="1">
        <f t="array" ref="J145">Default_STM_Param(12,J126)</f>
        <v>#NAME?</v>
      </c>
      <c r="K145" s="238" t="e" cm="1">
        <f t="array" ref="K145">Default_STM_Param(12,K126)</f>
        <v>#NAME?</v>
      </c>
      <c r="L145" s="238" t="e" cm="1">
        <f t="array" ref="L145">Default_STM_Param(12,L126)</f>
        <v>#NAME?</v>
      </c>
      <c r="M145" s="238" t="e" cm="1">
        <f t="array" ref="M145">Default_STM_Param(12,M126)</f>
        <v>#NAME?</v>
      </c>
      <c r="N145" s="238" t="e" cm="1">
        <f t="array" ref="N145">Default_STM_Param(12,N126)</f>
        <v>#NAME?</v>
      </c>
      <c r="O145" s="238" t="e" cm="1">
        <f t="array" ref="O145">Default_STM_Param(12,O126)</f>
        <v>#NAME?</v>
      </c>
      <c r="P145" s="238" t="e" cm="1">
        <f t="array" ref="P145">Default_STM_Param(12,P126)</f>
        <v>#NAME?</v>
      </c>
      <c r="Q145" s="239" t="e" cm="1">
        <f t="array" ref="Q145">Default_STM_Param(12,Q126)</f>
        <v>#NAME?</v>
      </c>
    </row>
    <row r="146" ht="16.4" customHeight="1" spans="1:20">
      <c r="A146" s="1" t="s">
        <v>274</v>
      </c>
      <c r="B146" s="192"/>
      <c r="C146" s="245"/>
      <c r="D146" s="240" t="s">
        <v>275</v>
      </c>
      <c r="E146" s="237"/>
      <c r="F146" s="238" t="e" cm="1">
        <f t="array" ref="F146">Default_STM_Param(11,F126)</f>
        <v>#NAME?</v>
      </c>
      <c r="G146" s="238" t="e" cm="1">
        <f t="array" ref="G146">Default_STM_Param(11,G126)</f>
        <v>#NAME?</v>
      </c>
      <c r="H146" s="238" t="e" cm="1">
        <f t="array" ref="H146">Default_STM_Param(11,H126)</f>
        <v>#NAME?</v>
      </c>
      <c r="I146" s="238" t="e" cm="1">
        <f t="array" ref="I146">Default_STM_Param(11,I126)</f>
        <v>#NAME?</v>
      </c>
      <c r="J146" s="238" t="e" cm="1">
        <f t="array" ref="J146">Default_STM_Param(11,J126)</f>
        <v>#NAME?</v>
      </c>
      <c r="K146" s="238" t="e" cm="1">
        <f t="array" ref="K146">Default_STM_Param(11,K126)</f>
        <v>#NAME?</v>
      </c>
      <c r="L146" s="238" t="e" cm="1">
        <f t="array" ref="L146">Default_STM_Param(11,L126)</f>
        <v>#NAME?</v>
      </c>
      <c r="M146" s="238" t="e" cm="1">
        <f t="array" ref="M146">Default_STM_Param(11,M126)</f>
        <v>#NAME?</v>
      </c>
      <c r="N146" s="238" t="e" cm="1">
        <f t="array" ref="N146">Default_STM_Param(11,N126)</f>
        <v>#NAME?</v>
      </c>
      <c r="O146" s="238" t="e" cm="1">
        <f t="array" ref="O146">Default_STM_Param(11,O126)</f>
        <v>#NAME?</v>
      </c>
      <c r="P146" s="238" t="e" cm="1">
        <f t="array" ref="P146">Default_STM_Param(11,P126)</f>
        <v>#NAME?</v>
      </c>
      <c r="Q146" s="239" t="e" cm="1">
        <f t="array" ref="Q146">Default_STM_Param(11,Q126)</f>
        <v>#NAME?</v>
      </c>
    </row>
    <row r="147" ht="16.4" customHeight="1" spans="1:20">
      <c r="A147" s="1" t="s">
        <v>276</v>
      </c>
      <c r="B147" s="192"/>
      <c r="C147" s="245"/>
      <c r="D147" s="240" t="s">
        <v>277</v>
      </c>
      <c r="E147" s="237"/>
      <c r="F147" s="238" t="e" cm="1">
        <f t="array" ref="F147">Default_STM_Param(13,F126)</f>
        <v>#NAME?</v>
      </c>
      <c r="G147" s="238" t="e" cm="1">
        <f t="array" ref="G147">Default_STM_Param(13,G126)</f>
        <v>#NAME?</v>
      </c>
      <c r="H147" s="238" t="e" cm="1">
        <f t="array" ref="H147">Default_STM_Param(13,H126)</f>
        <v>#NAME?</v>
      </c>
      <c r="I147" s="238" t="e" cm="1">
        <f t="array" ref="I147">Default_STM_Param(13,I126)</f>
        <v>#NAME?</v>
      </c>
      <c r="J147" s="238" t="e" cm="1">
        <f t="array" ref="J147">Default_STM_Param(13,J126)</f>
        <v>#NAME?</v>
      </c>
      <c r="K147" s="238" t="e" cm="1">
        <f t="array" ref="K147">Default_STM_Param(13,K126)</f>
        <v>#NAME?</v>
      </c>
      <c r="L147" s="238" t="e" cm="1">
        <f t="array" ref="L147">Default_STM_Param(13,L126)</f>
        <v>#NAME?</v>
      </c>
      <c r="M147" s="238" t="e" cm="1">
        <f t="array" ref="M147">Default_STM_Param(13,M126)</f>
        <v>#NAME?</v>
      </c>
      <c r="N147" s="238" t="e" cm="1">
        <f t="array" ref="N147">Default_STM_Param(13,N126)</f>
        <v>#NAME?</v>
      </c>
      <c r="O147" s="238" t="e" cm="1">
        <f t="array" ref="O147">Default_STM_Param(13,O126)</f>
        <v>#NAME?</v>
      </c>
      <c r="P147" s="238" t="e" cm="1">
        <f t="array" ref="P147">Default_STM_Param(13,P126)</f>
        <v>#NAME?</v>
      </c>
      <c r="Q147" s="239" t="e" cm="1">
        <f t="array" ref="Q147">Default_STM_Param(13,Q126)</f>
        <v>#NAME?</v>
      </c>
    </row>
    <row r="148" ht="16.4" customHeight="1" spans="1:20">
      <c r="A148" s="1" t="s">
        <v>278</v>
      </c>
      <c r="B148" s="192"/>
      <c r="C148" s="245"/>
      <c r="D148" s="240" t="s">
        <v>279</v>
      </c>
      <c r="E148" s="237"/>
      <c r="F148" s="238" t="e" cm="1">
        <f t="array" ref="F148">Default_STM_Param(58,F126)</f>
        <v>#NAME?</v>
      </c>
      <c r="G148" s="238" t="e" cm="1">
        <f t="array" ref="G148">Default_STM_Param(58,G126)</f>
        <v>#NAME?</v>
      </c>
      <c r="H148" s="238" t="e" cm="1">
        <f t="array" ref="H148">Default_STM_Param(58,H126)</f>
        <v>#NAME?</v>
      </c>
      <c r="I148" s="238" t="e" cm="1">
        <f t="array" ref="I148">Default_STM_Param(58,I126)</f>
        <v>#NAME?</v>
      </c>
      <c r="J148" s="238" t="e" cm="1">
        <f t="array" ref="J148">Default_STM_Param(58,J126)</f>
        <v>#NAME?</v>
      </c>
      <c r="K148" s="238" t="e" cm="1">
        <f t="array" ref="K148">Default_STM_Param(58,K126)</f>
        <v>#NAME?</v>
      </c>
      <c r="L148" s="238" t="e" cm="1">
        <f t="array" ref="L148">Default_STM_Param(58,L126)</f>
        <v>#NAME?</v>
      </c>
      <c r="M148" s="238" t="e" cm="1">
        <f t="array" ref="M148">Default_STM_Param(58,M126)</f>
        <v>#NAME?</v>
      </c>
      <c r="N148" s="238" t="e" cm="1">
        <f t="array" ref="N148">Default_STM_Param(58,N126)</f>
        <v>#NAME?</v>
      </c>
      <c r="O148" s="238" t="e" cm="1">
        <f t="array" ref="O148">Default_STM_Param(58,O126)</f>
        <v>#NAME?</v>
      </c>
      <c r="P148" s="238" t="e" cm="1">
        <f t="array" ref="P148">Default_STM_Param(58,P126)</f>
        <v>#NAME?</v>
      </c>
      <c r="Q148" s="238" t="e" cm="1">
        <f t="array" ref="Q148">Default_STM_Param(58,Q126)</f>
        <v>#NAME?</v>
      </c>
    </row>
    <row r="149" ht="16.4" customHeight="1" spans="1:20">
      <c r="A149" s="246" t="s">
        <v>280</v>
      </c>
      <c r="B149" s="192"/>
      <c r="C149" s="245"/>
      <c r="D149" s="240" t="s">
        <v>281</v>
      </c>
      <c r="E149" s="237"/>
      <c r="F149" s="247" t="e" cm="1">
        <f t="array" ref="F149">Default_STM_Param(49,F126)</f>
        <v>#NAME?</v>
      </c>
      <c r="G149" s="247" t="e" cm="1">
        <f t="array" ref="G149">Default_STM_Param(49,G126)</f>
        <v>#NAME?</v>
      </c>
      <c r="H149" s="247" t="e" cm="1">
        <f t="array" ref="H149">Default_STM_Param(49,H126)</f>
        <v>#NAME?</v>
      </c>
      <c r="I149" s="247" t="e" cm="1">
        <f t="array" ref="I149">Default_STM_Param(49,I126)</f>
        <v>#NAME?</v>
      </c>
      <c r="J149" s="247" t="e" cm="1">
        <f t="array" ref="J149">Default_STM_Param(49,J126)</f>
        <v>#NAME?</v>
      </c>
      <c r="K149" s="247" t="e" cm="1">
        <f t="array" ref="K149">Default_STM_Param(49,K126)</f>
        <v>#NAME?</v>
      </c>
      <c r="L149" s="247" t="e" cm="1">
        <f t="array" ref="L149">Default_STM_Param(49,L126)</f>
        <v>#NAME?</v>
      </c>
      <c r="M149" s="247" t="e" cm="1">
        <f t="array" ref="M149">Default_STM_Param(49,M126)</f>
        <v>#NAME?</v>
      </c>
      <c r="N149" s="247" t="e" cm="1">
        <f t="array" ref="N149">Default_STM_Param(49,N126)</f>
        <v>#NAME?</v>
      </c>
      <c r="O149" s="247" t="e" cm="1">
        <f t="array" ref="O149">Default_STM_Param(49,O126)</f>
        <v>#NAME?</v>
      </c>
      <c r="P149" s="247" t="e" cm="1">
        <f t="array" ref="P149">Default_STM_Param(49,P126)</f>
        <v>#NAME?</v>
      </c>
      <c r="Q149" s="248" t="e" cm="1">
        <f t="array" ref="Q149">Default_STM_Param(49,Q126)</f>
        <v>#NAME?</v>
      </c>
    </row>
    <row r="150" ht="16.4" customHeight="1" spans="1:20">
      <c r="A150" s="246" t="s">
        <v>231</v>
      </c>
      <c r="B150" s="249"/>
      <c r="C150" s="33"/>
      <c r="D150" s="240" t="s">
        <v>282</v>
      </c>
      <c r="E150" s="250"/>
      <c r="F150" s="247" t="e" cm="1">
        <f t="array" ref="F150">Default_STM_Param(55,F126)</f>
        <v>#NAME?</v>
      </c>
      <c r="G150" s="247" t="e" cm="1">
        <f t="array" ref="G150">Default_STM_Param(55,G126)</f>
        <v>#NAME?</v>
      </c>
      <c r="H150" s="247" t="e" cm="1">
        <f t="array" ref="H150">Default_STM_Param(55,H126)</f>
        <v>#NAME?</v>
      </c>
      <c r="I150" s="247" t="e" cm="1">
        <f t="array" ref="I150">Default_STM_Param(55,I126)</f>
        <v>#NAME?</v>
      </c>
      <c r="J150" s="247" t="e" cm="1">
        <f t="array" ref="J150">Default_STM_Param(55,J126)</f>
        <v>#NAME?</v>
      </c>
      <c r="K150" s="247" t="e" cm="1">
        <f t="array" ref="K150">Default_STM_Param(55,K126)</f>
        <v>#NAME?</v>
      </c>
      <c r="L150" s="247" t="e" cm="1">
        <f t="array" ref="L150">Default_STM_Param(55,L126)</f>
        <v>#NAME?</v>
      </c>
      <c r="M150" s="247" t="e" cm="1">
        <f t="array" ref="M150">Default_STM_Param(55,M126)</f>
        <v>#NAME?</v>
      </c>
      <c r="N150" s="247" t="e" cm="1">
        <f t="array" ref="N150">Default_STM_Param(55,N126)</f>
        <v>#NAME?</v>
      </c>
      <c r="O150" s="247" t="e" cm="1">
        <f t="array" ref="O150">Default_STM_Param(55,O126)</f>
        <v>#NAME?</v>
      </c>
      <c r="P150" s="247" t="e" cm="1">
        <f t="array" ref="P150">Default_STM_Param(55,P126)</f>
        <v>#NAME?</v>
      </c>
      <c r="Q150" s="248" t="e" cm="1">
        <f t="array" ref="Q150">Default_STM_Param(55,Q126)</f>
        <v>#NAME?</v>
      </c>
    </row>
    <row r="151" ht="16.4" customHeight="1" spans="1:20">
      <c r="A151" s="246" t="s">
        <v>231</v>
      </c>
      <c r="B151" s="249"/>
      <c r="C151" s="245"/>
      <c r="D151" s="240" t="s">
        <v>283</v>
      </c>
      <c r="E151" s="250"/>
      <c r="F151" s="247" t="e" cm="1">
        <f t="array" ref="F151">Default_STM_Param(56,F126)</f>
        <v>#NAME?</v>
      </c>
      <c r="G151" s="247" t="e" cm="1">
        <f t="array" ref="G151">Default_STM_Param(56,G126)</f>
        <v>#NAME?</v>
      </c>
      <c r="H151" s="247" t="e" cm="1">
        <f t="array" ref="H151">Default_STM_Param(56,H126)</f>
        <v>#NAME?</v>
      </c>
      <c r="I151" s="247" t="e" cm="1">
        <f t="array" ref="I151">Default_STM_Param(56,I126)</f>
        <v>#NAME?</v>
      </c>
      <c r="J151" s="247" t="e" cm="1">
        <f t="array" ref="J151">Default_STM_Param(56,J126)</f>
        <v>#NAME?</v>
      </c>
      <c r="K151" s="247" t="e" cm="1">
        <f t="array" ref="K151">Default_STM_Param(56,K126)</f>
        <v>#NAME?</v>
      </c>
      <c r="L151" s="247" t="e" cm="1">
        <f t="array" ref="L151">Default_STM_Param(56,L126)</f>
        <v>#NAME?</v>
      </c>
      <c r="M151" s="247" t="e" cm="1">
        <f t="array" ref="M151">Default_STM_Param(56,M126)</f>
        <v>#NAME?</v>
      </c>
      <c r="N151" s="247" t="e" cm="1">
        <f t="array" ref="N151">Default_STM_Param(56,N126)</f>
        <v>#NAME?</v>
      </c>
      <c r="O151" s="247" t="e" cm="1">
        <f t="array" ref="O151">Default_STM_Param(56,O126)</f>
        <v>#NAME?</v>
      </c>
      <c r="P151" s="247" t="e" cm="1">
        <f t="array" ref="P151">Default_STM_Param(56,P126)</f>
        <v>#NAME?</v>
      </c>
      <c r="Q151" s="248" t="e" cm="1">
        <f t="array" ref="Q151">Default_STM_Param(56,Q126)</f>
        <v>#NAME?</v>
      </c>
    </row>
    <row r="152" ht="16.4" customHeight="1" spans="1:20">
      <c r="A152" s="1" t="s">
        <v>284</v>
      </c>
      <c r="B152" s="249" t="s">
        <v>285</v>
      </c>
      <c r="C152" s="245">
        <v>5040040</v>
      </c>
      <c r="D152" s="240" t="s">
        <v>286</v>
      </c>
      <c r="E152" s="250"/>
      <c r="F152" s="247" t="e" cm="1">
        <f t="array" ref="F152">Default_STM_Param(14,F126)</f>
        <v>#NAME?</v>
      </c>
      <c r="G152" s="247" t="e" cm="1">
        <f t="array" ref="G152">Default_STM_Param(14,G126)</f>
        <v>#NAME?</v>
      </c>
      <c r="H152" s="247" t="e" cm="1">
        <f t="array" ref="H152">Default_STM_Param(14,H126)</f>
        <v>#NAME?</v>
      </c>
      <c r="I152" s="247" t="e" cm="1">
        <f t="array" ref="I152">Default_STM_Param(14,I126)</f>
        <v>#NAME?</v>
      </c>
      <c r="J152" s="247" t="e" cm="1">
        <f t="array" ref="J152">Default_STM_Param(14,J126)</f>
        <v>#NAME?</v>
      </c>
      <c r="K152" s="247" t="e" cm="1">
        <f t="array" ref="K152">Default_STM_Param(14,K126)</f>
        <v>#NAME?</v>
      </c>
      <c r="L152" s="247" t="e" cm="1">
        <f t="array" ref="L152">Default_STM_Param(14,L126)</f>
        <v>#NAME?</v>
      </c>
      <c r="M152" s="247" t="e" cm="1">
        <f t="array" ref="M152">Default_STM_Param(14,M126)</f>
        <v>#NAME?</v>
      </c>
      <c r="N152" s="247" t="e" cm="1">
        <f t="array" ref="N152">Default_STM_Param(14,N126)</f>
        <v>#NAME?</v>
      </c>
      <c r="O152" s="247" t="e" cm="1">
        <f t="array" ref="O152">Default_STM_Param(14,O126)</f>
        <v>#NAME?</v>
      </c>
      <c r="P152" s="247" t="e" cm="1">
        <f t="array" ref="P152">Default_STM_Param(14,P126)</f>
        <v>#NAME?</v>
      </c>
      <c r="Q152" s="248" t="e" cm="1">
        <f t="array" ref="Q152">Default_STM_Param(14,Q126)</f>
        <v>#NAME?</v>
      </c>
    </row>
    <row r="153" ht="16.4" customHeight="1" spans="1:20">
      <c r="A153" s="149" t="s">
        <v>143</v>
      </c>
      <c r="B153" s="251" t="s">
        <v>287</v>
      </c>
      <c r="C153" s="96"/>
      <c r="D153" s="96" t="s">
        <v>288</v>
      </c>
      <c r="E153" s="252"/>
      <c r="F153" s="253" t="e" cm="1">
        <f t="array" ref="F153">Default_STM_Param(57,F126)</f>
        <v>#NAME?</v>
      </c>
      <c r="G153" s="253" t="e" cm="1">
        <f t="array" ref="G153">Default_STM_Param(57,G126)</f>
        <v>#NAME?</v>
      </c>
      <c r="H153" s="253" t="e" cm="1">
        <f t="array" ref="H153">Default_STM_Param(57,H126)</f>
        <v>#NAME?</v>
      </c>
      <c r="I153" s="253" t="e" cm="1">
        <f t="array" ref="I153">Default_STM_Param(57,I126)</f>
        <v>#NAME?</v>
      </c>
      <c r="J153" s="253" t="e" cm="1">
        <f t="array" ref="J153">Default_STM_Param(57,J126)</f>
        <v>#NAME?</v>
      </c>
      <c r="K153" s="253" t="e" cm="1">
        <f t="array" ref="K153">Default_STM_Param(57,K126)</f>
        <v>#NAME?</v>
      </c>
      <c r="L153" s="253" t="e" cm="1">
        <f t="array" ref="L153">Default_STM_Param(57,L126)</f>
        <v>#NAME?</v>
      </c>
      <c r="M153" s="253" t="e" cm="1">
        <f t="array" ref="M153">Default_STM_Param(57,M126)</f>
        <v>#NAME?</v>
      </c>
      <c r="N153" s="253" t="e" cm="1">
        <f t="array" ref="N153">Default_STM_Param(57,N126)</f>
        <v>#NAME?</v>
      </c>
      <c r="O153" s="253" t="e" cm="1">
        <f t="array" ref="O153">Default_STM_Param(57,O126)</f>
        <v>#NAME?</v>
      </c>
      <c r="P153" s="253" t="e" cm="1">
        <f t="array" ref="P153">Default_STM_Param(57,P126)</f>
        <v>#NAME?</v>
      </c>
      <c r="Q153" s="254" t="e" cm="1">
        <f t="array" ref="Q153">Default_STM_Param(57,Q126)</f>
        <v>#NAME?</v>
      </c>
    </row>
    <row r="154" ht="16.4" customHeight="1" spans="1:20">
      <c r="A154" s="1" t="s">
        <v>289</v>
      </c>
      <c r="B154" s="255" t="s">
        <v>290</v>
      </c>
      <c r="C154" s="256"/>
      <c r="D154" s="257"/>
      <c r="E154" s="258"/>
      <c r="F154" s="17"/>
      <c r="G154" s="17"/>
      <c r="H154" s="17"/>
      <c r="I154" s="17"/>
      <c r="J154" s="17"/>
      <c r="K154" s="17"/>
      <c r="L154" s="17"/>
      <c r="M154" s="17"/>
      <c r="N154" s="17"/>
      <c r="O154" s="17"/>
      <c r="P154" s="17"/>
      <c r="Q154" s="17"/>
    </row>
    <row r="155" ht="16.4" customHeight="1" spans="1:20">
      <c r="A155" s="1" t="s">
        <v>289</v>
      </c>
      <c r="B155" s="259" t="s">
        <v>291</v>
      </c>
      <c r="C155" s="260"/>
      <c r="D155" s="261"/>
      <c r="E155" s="262"/>
    </row>
    <row r="156" ht="16.4" customHeight="1" spans="1:20">
      <c r="A156" s="1" t="s">
        <v>289</v>
      </c>
      <c r="B156" s="263"/>
      <c r="C156" s="264">
        <v>5040010</v>
      </c>
      <c r="D156" s="34" t="s">
        <v>240</v>
      </c>
      <c r="E156" s="84" t="e">
        <f>F128</f>
        <v>#NAME?</v>
      </c>
      <c r="F156" s="16" t="s">
        <v>292</v>
      </c>
    </row>
    <row r="157" ht="16.4" customHeight="1" spans="1:20">
      <c r="A157" s="1" t="s">
        <v>289</v>
      </c>
      <c r="B157" s="122" t="s">
        <v>293</v>
      </c>
      <c r="C157" s="265" t="s">
        <v>24</v>
      </c>
      <c r="D157" s="34" t="s">
        <v>294</v>
      </c>
      <c r="E157" s="239">
        <f>COUNTIF(F159:T159,"&lt;&gt;-")</f>
        <v>0</v>
      </c>
    </row>
    <row r="158" ht="16.4" customHeight="1" spans="1:20">
      <c r="A158" s="1" t="s">
        <v>289</v>
      </c>
      <c r="B158" s="142" t="s">
        <v>295</v>
      </c>
      <c r="C158" s="264"/>
      <c r="D158" s="123"/>
      <c r="E158" s="266"/>
      <c r="F158" s="267">
        <v>1</v>
      </c>
      <c r="G158" s="267">
        <v>2</v>
      </c>
      <c r="H158" s="267">
        <v>3</v>
      </c>
      <c r="I158" s="267">
        <v>4</v>
      </c>
      <c r="J158" s="267">
        <v>5</v>
      </c>
      <c r="K158" s="267">
        <v>6</v>
      </c>
      <c r="L158" s="267">
        <v>7</v>
      </c>
      <c r="M158" s="267">
        <v>8</v>
      </c>
      <c r="N158" s="267">
        <v>9</v>
      </c>
      <c r="O158" s="267">
        <v>10</v>
      </c>
      <c r="P158" s="267">
        <v>11</v>
      </c>
      <c r="Q158" s="267">
        <v>12</v>
      </c>
      <c r="R158" s="267">
        <v>13</v>
      </c>
      <c r="S158" s="267">
        <v>14</v>
      </c>
      <c r="T158" s="268">
        <v>15</v>
      </c>
    </row>
    <row r="159" ht="16.4" customHeight="1" spans="1:20">
      <c r="A159" s="1" t="s">
        <v>289</v>
      </c>
      <c r="B159" s="142"/>
      <c r="C159" s="264">
        <v>5040110</v>
      </c>
      <c r="D159" s="34" t="s">
        <v>296</v>
      </c>
      <c r="E159" s="266"/>
      <c r="F159" s="269" t="s">
        <v>61</v>
      </c>
      <c r="G159" s="269" t="s">
        <v>61</v>
      </c>
      <c r="H159" s="269" t="s">
        <v>61</v>
      </c>
      <c r="I159" s="269" t="s">
        <v>61</v>
      </c>
      <c r="J159" s="269" t="s">
        <v>61</v>
      </c>
      <c r="K159" s="269" t="s">
        <v>61</v>
      </c>
      <c r="L159" s="269" t="s">
        <v>61</v>
      </c>
      <c r="M159" s="269" t="s">
        <v>61</v>
      </c>
      <c r="N159" s="269" t="s">
        <v>61</v>
      </c>
      <c r="O159" s="269" t="s">
        <v>61</v>
      </c>
      <c r="P159" s="269" t="s">
        <v>61</v>
      </c>
      <c r="Q159" s="269" t="s">
        <v>61</v>
      </c>
      <c r="R159" s="269" t="s">
        <v>61</v>
      </c>
      <c r="S159" s="269" t="s">
        <v>61</v>
      </c>
      <c r="T159" s="270" t="s">
        <v>61</v>
      </c>
    </row>
    <row r="160" ht="16.4" customHeight="1" spans="1:20">
      <c r="A160" s="1" t="s">
        <v>171</v>
      </c>
      <c r="B160" s="76"/>
      <c r="C160" s="271">
        <v>5040120</v>
      </c>
      <c r="D160" s="132" t="s">
        <v>297</v>
      </c>
      <c r="E160" s="266"/>
      <c r="F160" s="272" t="s">
        <v>61</v>
      </c>
      <c r="G160" s="272" t="s">
        <v>61</v>
      </c>
      <c r="H160" s="272" t="s">
        <v>61</v>
      </c>
      <c r="I160" s="272" t="s">
        <v>61</v>
      </c>
      <c r="J160" s="272" t="s">
        <v>61</v>
      </c>
      <c r="K160" s="272" t="s">
        <v>61</v>
      </c>
      <c r="L160" s="272" t="s">
        <v>61</v>
      </c>
      <c r="M160" s="272" t="s">
        <v>61</v>
      </c>
      <c r="N160" s="272" t="s">
        <v>61</v>
      </c>
      <c r="O160" s="272" t="s">
        <v>61</v>
      </c>
      <c r="P160" s="272" t="s">
        <v>61</v>
      </c>
      <c r="Q160" s="272" t="s">
        <v>61</v>
      </c>
      <c r="R160" s="272" t="s">
        <v>61</v>
      </c>
      <c r="S160" s="272" t="s">
        <v>61</v>
      </c>
      <c r="T160" s="273" t="s">
        <v>61</v>
      </c>
    </row>
    <row r="161" ht="16.4" customHeight="1" spans="1:21">
      <c r="A161" s="1" t="s">
        <v>171</v>
      </c>
      <c r="B161" s="274"/>
      <c r="C161" s="275">
        <v>5040130</v>
      </c>
      <c r="D161" s="276" t="s">
        <v>298</v>
      </c>
      <c r="E161" s="277"/>
      <c r="F161" s="278" t="s">
        <v>61</v>
      </c>
      <c r="G161" s="278" t="s">
        <v>61</v>
      </c>
      <c r="H161" s="278" t="s">
        <v>61</v>
      </c>
      <c r="I161" s="278" t="s">
        <v>61</v>
      </c>
      <c r="J161" s="278" t="s">
        <v>61</v>
      </c>
      <c r="K161" s="278" t="s">
        <v>61</v>
      </c>
      <c r="L161" s="278" t="s">
        <v>61</v>
      </c>
      <c r="M161" s="278" t="s">
        <v>61</v>
      </c>
      <c r="N161" s="278" t="s">
        <v>61</v>
      </c>
      <c r="O161" s="278" t="s">
        <v>61</v>
      </c>
      <c r="P161" s="278" t="s">
        <v>61</v>
      </c>
      <c r="Q161" s="278" t="s">
        <v>61</v>
      </c>
      <c r="R161" s="278" t="s">
        <v>61</v>
      </c>
      <c r="S161" s="278" t="s">
        <v>61</v>
      </c>
      <c r="T161" s="279" t="s">
        <v>61</v>
      </c>
    </row>
    <row r="162" ht="16.4" customHeight="1" spans="1:21">
      <c r="A162" s="1" t="s">
        <v>289</v>
      </c>
      <c r="B162" s="259" t="s">
        <v>299</v>
      </c>
      <c r="C162" s="260"/>
      <c r="D162" s="261"/>
      <c r="E162" s="262"/>
    </row>
    <row r="163" ht="16.4" customHeight="1" spans="1:21">
      <c r="A163" s="1" t="s">
        <v>289</v>
      </c>
      <c r="B163" s="263"/>
      <c r="C163" s="264">
        <v>5040010</v>
      </c>
      <c r="D163" s="34" t="s">
        <v>240</v>
      </c>
      <c r="E163" s="84" t="e">
        <f>G128</f>
        <v>#NAME?</v>
      </c>
      <c r="F163" s="16" t="s">
        <v>300</v>
      </c>
    </row>
    <row r="164" ht="16.4" customHeight="1" spans="1:21">
      <c r="A164" s="1" t="s">
        <v>289</v>
      </c>
      <c r="B164" s="122" t="s">
        <v>293</v>
      </c>
      <c r="C164" s="265" t="s">
        <v>24</v>
      </c>
      <c r="D164" s="34" t="s">
        <v>294</v>
      </c>
      <c r="E164" s="239">
        <f>COUNTIF(F166:T166,"&lt;&gt;-")</f>
        <v>0</v>
      </c>
    </row>
    <row r="165" ht="16.4" customHeight="1" spans="1:21">
      <c r="A165" s="1" t="s">
        <v>289</v>
      </c>
      <c r="B165" s="142" t="s">
        <v>295</v>
      </c>
      <c r="C165" s="264"/>
      <c r="D165" s="123"/>
      <c r="E165" s="239">
        <f>COUNTIF(F167:T167,"&lt;&gt;-")</f>
        <v>0</v>
      </c>
      <c r="F165" s="267">
        <v>1</v>
      </c>
      <c r="G165" s="267">
        <v>2</v>
      </c>
      <c r="H165" s="267">
        <v>3</v>
      </c>
      <c r="I165" s="267">
        <v>4</v>
      </c>
      <c r="J165" s="267">
        <v>5</v>
      </c>
      <c r="K165" s="267">
        <v>6</v>
      </c>
      <c r="L165" s="267">
        <v>7</v>
      </c>
      <c r="M165" s="267">
        <v>8</v>
      </c>
      <c r="N165" s="267">
        <v>9</v>
      </c>
      <c r="O165" s="267">
        <v>10</v>
      </c>
      <c r="P165" s="267">
        <v>11</v>
      </c>
      <c r="Q165" s="267">
        <v>12</v>
      </c>
      <c r="R165" s="267">
        <v>13</v>
      </c>
      <c r="S165" s="267">
        <v>14</v>
      </c>
      <c r="T165" s="268">
        <v>15</v>
      </c>
      <c r="U165" s="280"/>
    </row>
    <row r="166" ht="16.4" customHeight="1" spans="1:21">
      <c r="A166" s="1" t="s">
        <v>289</v>
      </c>
      <c r="B166" s="142"/>
      <c r="C166" s="264">
        <v>5040110</v>
      </c>
      <c r="D166" s="34" t="s">
        <v>296</v>
      </c>
      <c r="E166" s="266"/>
      <c r="F166" s="269" t="s">
        <v>61</v>
      </c>
      <c r="G166" s="269" t="s">
        <v>61</v>
      </c>
      <c r="H166" s="269" t="s">
        <v>61</v>
      </c>
      <c r="I166" s="269" t="s">
        <v>61</v>
      </c>
      <c r="J166" s="269" t="s">
        <v>61</v>
      </c>
      <c r="K166" s="269" t="s">
        <v>61</v>
      </c>
      <c r="L166" s="269" t="s">
        <v>61</v>
      </c>
      <c r="M166" s="269" t="s">
        <v>61</v>
      </c>
      <c r="N166" s="269" t="s">
        <v>61</v>
      </c>
      <c r="O166" s="269" t="s">
        <v>61</v>
      </c>
      <c r="P166" s="269" t="s">
        <v>61</v>
      </c>
      <c r="Q166" s="269" t="s">
        <v>61</v>
      </c>
      <c r="R166" s="269" t="s">
        <v>61</v>
      </c>
      <c r="S166" s="269" t="s">
        <v>61</v>
      </c>
      <c r="T166" s="270" t="s">
        <v>61</v>
      </c>
      <c r="U166" s="280"/>
    </row>
    <row r="167" ht="16.4" customHeight="1" spans="1:21">
      <c r="A167" s="1" t="s">
        <v>171</v>
      </c>
      <c r="B167" s="76"/>
      <c r="C167" s="271">
        <v>5040120</v>
      </c>
      <c r="D167" s="132" t="s">
        <v>297</v>
      </c>
      <c r="E167" s="266"/>
      <c r="F167" s="272" t="s">
        <v>61</v>
      </c>
      <c r="G167" s="272" t="s">
        <v>61</v>
      </c>
      <c r="H167" s="272" t="s">
        <v>61</v>
      </c>
      <c r="I167" s="272" t="s">
        <v>61</v>
      </c>
      <c r="J167" s="272" t="s">
        <v>61</v>
      </c>
      <c r="K167" s="272" t="s">
        <v>61</v>
      </c>
      <c r="L167" s="272" t="s">
        <v>61</v>
      </c>
      <c r="M167" s="272" t="s">
        <v>61</v>
      </c>
      <c r="N167" s="272" t="s">
        <v>61</v>
      </c>
      <c r="O167" s="272" t="s">
        <v>61</v>
      </c>
      <c r="P167" s="272" t="s">
        <v>61</v>
      </c>
      <c r="Q167" s="272" t="s">
        <v>61</v>
      </c>
      <c r="R167" s="272" t="s">
        <v>61</v>
      </c>
      <c r="S167" s="272" t="s">
        <v>61</v>
      </c>
      <c r="T167" s="273" t="s">
        <v>61</v>
      </c>
      <c r="U167" s="280"/>
    </row>
    <row r="168" ht="16.4" customHeight="1" spans="1:21">
      <c r="A168" s="1" t="s">
        <v>171</v>
      </c>
      <c r="B168" s="274"/>
      <c r="C168" s="275">
        <v>5040130</v>
      </c>
      <c r="D168" s="276" t="s">
        <v>298</v>
      </c>
      <c r="E168" s="277"/>
      <c r="F168" s="278" t="s">
        <v>61</v>
      </c>
      <c r="G168" s="278" t="s">
        <v>61</v>
      </c>
      <c r="H168" s="278" t="s">
        <v>61</v>
      </c>
      <c r="I168" s="278" t="s">
        <v>61</v>
      </c>
      <c r="J168" s="278" t="s">
        <v>61</v>
      </c>
      <c r="K168" s="278" t="s">
        <v>61</v>
      </c>
      <c r="L168" s="278" t="s">
        <v>61</v>
      </c>
      <c r="M168" s="278" t="s">
        <v>61</v>
      </c>
      <c r="N168" s="278" t="s">
        <v>61</v>
      </c>
      <c r="O168" s="278" t="s">
        <v>61</v>
      </c>
      <c r="P168" s="278" t="s">
        <v>61</v>
      </c>
      <c r="Q168" s="278" t="s">
        <v>61</v>
      </c>
      <c r="R168" s="278" t="s">
        <v>61</v>
      </c>
      <c r="S168" s="278" t="s">
        <v>61</v>
      </c>
      <c r="T168" s="279" t="s">
        <v>61</v>
      </c>
      <c r="U168" s="280"/>
    </row>
    <row r="169" ht="16.4" customHeight="1" spans="1:21">
      <c r="A169" s="1" t="s">
        <v>289</v>
      </c>
      <c r="B169" s="259" t="s">
        <v>301</v>
      </c>
      <c r="C169" s="260"/>
      <c r="D169" s="261"/>
      <c r="E169" s="262"/>
    </row>
    <row r="170" ht="16.4" customHeight="1" spans="1:21">
      <c r="A170" s="1" t="s">
        <v>289</v>
      </c>
      <c r="B170" s="263"/>
      <c r="C170" s="264">
        <v>5040010</v>
      </c>
      <c r="D170" s="34" t="s">
        <v>240</v>
      </c>
      <c r="E170" s="84" t="e">
        <f>H128</f>
        <v>#NAME?</v>
      </c>
      <c r="F170" s="16" t="s">
        <v>302</v>
      </c>
    </row>
    <row r="171" ht="16.4" customHeight="1" spans="1:21">
      <c r="A171" s="1" t="s">
        <v>289</v>
      </c>
      <c r="B171" s="122" t="s">
        <v>293</v>
      </c>
      <c r="C171" s="265" t="s">
        <v>24</v>
      </c>
      <c r="D171" s="34" t="s">
        <v>294</v>
      </c>
      <c r="E171" s="239">
        <f>COUNTIF(F173:T173,"&lt;&gt;-")</f>
        <v>0</v>
      </c>
    </row>
    <row r="172" ht="16.4" customHeight="1" spans="1:21">
      <c r="A172" s="1" t="s">
        <v>289</v>
      </c>
      <c r="B172" s="142" t="s">
        <v>295</v>
      </c>
      <c r="C172" s="264"/>
      <c r="D172" s="123"/>
      <c r="E172" s="266"/>
      <c r="F172" s="267">
        <v>1</v>
      </c>
      <c r="G172" s="267">
        <v>2</v>
      </c>
      <c r="H172" s="267">
        <v>3</v>
      </c>
      <c r="I172" s="267">
        <v>4</v>
      </c>
      <c r="J172" s="267">
        <v>5</v>
      </c>
      <c r="K172" s="267">
        <v>6</v>
      </c>
      <c r="L172" s="267">
        <v>7</v>
      </c>
      <c r="M172" s="267">
        <v>8</v>
      </c>
      <c r="N172" s="267">
        <v>9</v>
      </c>
      <c r="O172" s="267">
        <v>10</v>
      </c>
      <c r="P172" s="267">
        <v>11</v>
      </c>
      <c r="Q172" s="267">
        <v>12</v>
      </c>
      <c r="R172" s="267">
        <v>13</v>
      </c>
      <c r="S172" s="267">
        <v>14</v>
      </c>
      <c r="T172" s="268">
        <v>15</v>
      </c>
      <c r="U172" s="280"/>
    </row>
    <row r="173" ht="16.4" customHeight="1" spans="1:21">
      <c r="A173" s="1" t="s">
        <v>289</v>
      </c>
      <c r="B173" s="142"/>
      <c r="C173" s="264">
        <v>5040110</v>
      </c>
      <c r="D173" s="34" t="s">
        <v>296</v>
      </c>
      <c r="E173" s="266"/>
      <c r="F173" s="269" t="s">
        <v>61</v>
      </c>
      <c r="G173" s="269" t="s">
        <v>61</v>
      </c>
      <c r="H173" s="269" t="s">
        <v>61</v>
      </c>
      <c r="I173" s="269" t="s">
        <v>61</v>
      </c>
      <c r="J173" s="269" t="s">
        <v>61</v>
      </c>
      <c r="K173" s="269" t="s">
        <v>61</v>
      </c>
      <c r="L173" s="269" t="s">
        <v>61</v>
      </c>
      <c r="M173" s="269" t="s">
        <v>61</v>
      </c>
      <c r="N173" s="269" t="s">
        <v>61</v>
      </c>
      <c r="O173" s="269" t="s">
        <v>61</v>
      </c>
      <c r="P173" s="269" t="s">
        <v>61</v>
      </c>
      <c r="Q173" s="269" t="s">
        <v>61</v>
      </c>
      <c r="R173" s="269" t="s">
        <v>61</v>
      </c>
      <c r="S173" s="269" t="s">
        <v>61</v>
      </c>
      <c r="T173" s="270" t="s">
        <v>61</v>
      </c>
      <c r="U173" s="280"/>
    </row>
    <row r="174" ht="16.4" customHeight="1" spans="1:21">
      <c r="A174" s="1" t="s">
        <v>171</v>
      </c>
      <c r="B174" s="76"/>
      <c r="C174" s="271">
        <v>5040120</v>
      </c>
      <c r="D174" s="132" t="s">
        <v>297</v>
      </c>
      <c r="E174" s="266"/>
      <c r="F174" s="272" t="s">
        <v>61</v>
      </c>
      <c r="G174" s="272" t="s">
        <v>61</v>
      </c>
      <c r="H174" s="272" t="s">
        <v>61</v>
      </c>
      <c r="I174" s="272" t="s">
        <v>61</v>
      </c>
      <c r="J174" s="272" t="s">
        <v>61</v>
      </c>
      <c r="K174" s="272" t="s">
        <v>61</v>
      </c>
      <c r="L174" s="272" t="s">
        <v>61</v>
      </c>
      <c r="M174" s="272" t="s">
        <v>61</v>
      </c>
      <c r="N174" s="272" t="s">
        <v>61</v>
      </c>
      <c r="O174" s="272" t="s">
        <v>61</v>
      </c>
      <c r="P174" s="272" t="s">
        <v>61</v>
      </c>
      <c r="Q174" s="272" t="s">
        <v>61</v>
      </c>
      <c r="R174" s="272" t="s">
        <v>61</v>
      </c>
      <c r="S174" s="272" t="s">
        <v>61</v>
      </c>
      <c r="T174" s="273" t="s">
        <v>61</v>
      </c>
      <c r="U174" s="280"/>
    </row>
    <row r="175" ht="16.4" customHeight="1" spans="1:21">
      <c r="A175" s="1" t="s">
        <v>171</v>
      </c>
      <c r="B175" s="274"/>
      <c r="C175" s="275">
        <v>5040130</v>
      </c>
      <c r="D175" s="276" t="s">
        <v>298</v>
      </c>
      <c r="E175" s="277"/>
      <c r="F175" s="278" t="s">
        <v>61</v>
      </c>
      <c r="G175" s="278" t="s">
        <v>61</v>
      </c>
      <c r="H175" s="278" t="s">
        <v>61</v>
      </c>
      <c r="I175" s="278" t="s">
        <v>61</v>
      </c>
      <c r="J175" s="278" t="s">
        <v>61</v>
      </c>
      <c r="K175" s="278" t="s">
        <v>61</v>
      </c>
      <c r="L175" s="278" t="s">
        <v>61</v>
      </c>
      <c r="M175" s="278" t="s">
        <v>61</v>
      </c>
      <c r="N175" s="278" t="s">
        <v>61</v>
      </c>
      <c r="O175" s="278" t="s">
        <v>61</v>
      </c>
      <c r="P175" s="278" t="s">
        <v>61</v>
      </c>
      <c r="Q175" s="278" t="s">
        <v>61</v>
      </c>
      <c r="R175" s="278" t="s">
        <v>61</v>
      </c>
      <c r="S175" s="278" t="s">
        <v>61</v>
      </c>
      <c r="T175" s="279" t="s">
        <v>61</v>
      </c>
      <c r="U175" s="280"/>
    </row>
    <row r="176" ht="16.4" customHeight="1" spans="1:21">
      <c r="A176" s="1" t="s">
        <v>289</v>
      </c>
      <c r="B176" s="259" t="s">
        <v>303</v>
      </c>
      <c r="C176" s="260"/>
      <c r="D176" s="261"/>
      <c r="E176" s="262"/>
    </row>
    <row r="177" ht="16.4" customHeight="1" spans="1:21">
      <c r="A177" s="1" t="s">
        <v>289</v>
      </c>
      <c r="B177" s="263"/>
      <c r="C177" s="264">
        <v>5040010</v>
      </c>
      <c r="D177" s="34" t="s">
        <v>240</v>
      </c>
      <c r="E177" s="84" t="e">
        <f>I128</f>
        <v>#NAME?</v>
      </c>
      <c r="F177" s="16" t="s">
        <v>304</v>
      </c>
    </row>
    <row r="178" ht="16.4" customHeight="1" spans="1:21">
      <c r="A178" s="1" t="s">
        <v>289</v>
      </c>
      <c r="B178" s="122" t="s">
        <v>293</v>
      </c>
      <c r="C178" s="265" t="s">
        <v>24</v>
      </c>
      <c r="D178" s="34" t="s">
        <v>294</v>
      </c>
      <c r="E178" s="239">
        <f>COUNTIF(F180:T180,"&lt;&gt;-")</f>
        <v>0</v>
      </c>
    </row>
    <row r="179" ht="16.4" customHeight="1" spans="1:21">
      <c r="A179" s="1" t="s">
        <v>289</v>
      </c>
      <c r="B179" s="142" t="s">
        <v>295</v>
      </c>
      <c r="C179" s="264"/>
      <c r="D179" s="123"/>
      <c r="E179" s="266"/>
      <c r="F179" s="267">
        <v>1</v>
      </c>
      <c r="G179" s="267">
        <v>2</v>
      </c>
      <c r="H179" s="267">
        <v>3</v>
      </c>
      <c r="I179" s="267">
        <v>4</v>
      </c>
      <c r="J179" s="267">
        <v>5</v>
      </c>
      <c r="K179" s="267">
        <v>6</v>
      </c>
      <c r="L179" s="267">
        <v>7</v>
      </c>
      <c r="M179" s="267">
        <v>8</v>
      </c>
      <c r="N179" s="267">
        <v>9</v>
      </c>
      <c r="O179" s="267">
        <v>10</v>
      </c>
      <c r="P179" s="267">
        <v>11</v>
      </c>
      <c r="Q179" s="267">
        <v>12</v>
      </c>
      <c r="R179" s="267">
        <v>13</v>
      </c>
      <c r="S179" s="267">
        <v>14</v>
      </c>
      <c r="T179" s="268">
        <v>15</v>
      </c>
      <c r="U179" s="280"/>
    </row>
    <row r="180" ht="16.4" customHeight="1" spans="1:21">
      <c r="A180" s="1" t="s">
        <v>289</v>
      </c>
      <c r="B180" s="142"/>
      <c r="C180" s="264">
        <v>5040110</v>
      </c>
      <c r="D180" s="34" t="s">
        <v>296</v>
      </c>
      <c r="E180" s="266"/>
      <c r="F180" s="269" t="s">
        <v>61</v>
      </c>
      <c r="G180" s="269" t="s">
        <v>61</v>
      </c>
      <c r="H180" s="269" t="s">
        <v>61</v>
      </c>
      <c r="I180" s="269" t="s">
        <v>61</v>
      </c>
      <c r="J180" s="269" t="s">
        <v>61</v>
      </c>
      <c r="K180" s="269" t="s">
        <v>61</v>
      </c>
      <c r="L180" s="269" t="s">
        <v>61</v>
      </c>
      <c r="M180" s="269" t="s">
        <v>61</v>
      </c>
      <c r="N180" s="269" t="s">
        <v>61</v>
      </c>
      <c r="O180" s="269" t="s">
        <v>61</v>
      </c>
      <c r="P180" s="269" t="s">
        <v>61</v>
      </c>
      <c r="Q180" s="269" t="s">
        <v>61</v>
      </c>
      <c r="R180" s="269" t="s">
        <v>61</v>
      </c>
      <c r="S180" s="269" t="s">
        <v>61</v>
      </c>
      <c r="T180" s="270" t="s">
        <v>61</v>
      </c>
      <c r="U180" s="280"/>
    </row>
    <row r="181" ht="16.4" customHeight="1" spans="1:21">
      <c r="A181" s="1" t="s">
        <v>171</v>
      </c>
      <c r="B181" s="76"/>
      <c r="C181" s="271">
        <v>5040120</v>
      </c>
      <c r="D181" s="132" t="s">
        <v>297</v>
      </c>
      <c r="E181" s="266"/>
      <c r="F181" s="272" t="s">
        <v>61</v>
      </c>
      <c r="G181" s="272" t="s">
        <v>61</v>
      </c>
      <c r="H181" s="272" t="s">
        <v>61</v>
      </c>
      <c r="I181" s="272" t="s">
        <v>61</v>
      </c>
      <c r="J181" s="272" t="s">
        <v>61</v>
      </c>
      <c r="K181" s="272" t="s">
        <v>61</v>
      </c>
      <c r="L181" s="272" t="s">
        <v>61</v>
      </c>
      <c r="M181" s="272" t="s">
        <v>61</v>
      </c>
      <c r="N181" s="272" t="s">
        <v>61</v>
      </c>
      <c r="O181" s="272" t="s">
        <v>61</v>
      </c>
      <c r="P181" s="272" t="s">
        <v>61</v>
      </c>
      <c r="Q181" s="272" t="s">
        <v>61</v>
      </c>
      <c r="R181" s="272" t="s">
        <v>61</v>
      </c>
      <c r="S181" s="272" t="s">
        <v>61</v>
      </c>
      <c r="T181" s="273" t="s">
        <v>61</v>
      </c>
      <c r="U181" s="280"/>
    </row>
    <row r="182" ht="16.4" customHeight="1" spans="1:21">
      <c r="A182" s="1" t="s">
        <v>171</v>
      </c>
      <c r="B182" s="274"/>
      <c r="C182" s="275">
        <v>5040130</v>
      </c>
      <c r="D182" s="276" t="s">
        <v>298</v>
      </c>
      <c r="E182" s="277"/>
      <c r="F182" s="278" t="s">
        <v>61</v>
      </c>
      <c r="G182" s="278" t="s">
        <v>61</v>
      </c>
      <c r="H182" s="278" t="s">
        <v>61</v>
      </c>
      <c r="I182" s="278" t="s">
        <v>61</v>
      </c>
      <c r="J182" s="278" t="s">
        <v>61</v>
      </c>
      <c r="K182" s="278" t="s">
        <v>61</v>
      </c>
      <c r="L182" s="278" t="s">
        <v>61</v>
      </c>
      <c r="M182" s="278" t="s">
        <v>61</v>
      </c>
      <c r="N182" s="278" t="s">
        <v>61</v>
      </c>
      <c r="O182" s="278" t="s">
        <v>61</v>
      </c>
      <c r="P182" s="278" t="s">
        <v>61</v>
      </c>
      <c r="Q182" s="278" t="s">
        <v>61</v>
      </c>
      <c r="R182" s="278" t="s">
        <v>61</v>
      </c>
      <c r="S182" s="278" t="s">
        <v>61</v>
      </c>
      <c r="T182" s="279" t="s">
        <v>61</v>
      </c>
      <c r="U182" s="280"/>
    </row>
    <row r="183" ht="16.4" customHeight="1" spans="1:21">
      <c r="A183" s="1" t="s">
        <v>289</v>
      </c>
      <c r="B183" s="259" t="s">
        <v>305</v>
      </c>
      <c r="C183" s="260"/>
      <c r="D183" s="261"/>
      <c r="E183" s="262"/>
    </row>
    <row r="184" ht="16.4" customHeight="1" spans="1:21">
      <c r="A184" s="1" t="s">
        <v>289</v>
      </c>
      <c r="B184" s="263"/>
      <c r="C184" s="264">
        <v>5040010</v>
      </c>
      <c r="D184" s="34" t="s">
        <v>240</v>
      </c>
      <c r="E184" s="84" t="e">
        <f>J128</f>
        <v>#NAME?</v>
      </c>
      <c r="F184" s="16" t="s">
        <v>306</v>
      </c>
    </row>
    <row r="185" ht="16.4" customHeight="1" spans="1:21">
      <c r="A185" s="1" t="s">
        <v>289</v>
      </c>
      <c r="B185" s="122" t="s">
        <v>293</v>
      </c>
      <c r="C185" s="265" t="s">
        <v>24</v>
      </c>
      <c r="D185" s="34" t="s">
        <v>294</v>
      </c>
      <c r="E185" s="239">
        <f>COUNTIF(F187:T187,"&lt;&gt;-")</f>
        <v>0</v>
      </c>
    </row>
    <row r="186" ht="16.4" customHeight="1" spans="1:21">
      <c r="A186" s="1" t="s">
        <v>289</v>
      </c>
      <c r="B186" s="142" t="s">
        <v>295</v>
      </c>
      <c r="C186" s="264"/>
      <c r="D186" s="123"/>
      <c r="E186" s="266"/>
      <c r="F186" s="267">
        <v>1</v>
      </c>
      <c r="G186" s="267">
        <v>2</v>
      </c>
      <c r="H186" s="267">
        <v>3</v>
      </c>
      <c r="I186" s="267">
        <v>4</v>
      </c>
      <c r="J186" s="267">
        <v>5</v>
      </c>
      <c r="K186" s="267">
        <v>6</v>
      </c>
      <c r="L186" s="267">
        <v>7</v>
      </c>
      <c r="M186" s="267">
        <v>8</v>
      </c>
      <c r="N186" s="267">
        <v>9</v>
      </c>
      <c r="O186" s="267">
        <v>10</v>
      </c>
      <c r="P186" s="267">
        <v>11</v>
      </c>
      <c r="Q186" s="267">
        <v>12</v>
      </c>
      <c r="R186" s="267">
        <v>13</v>
      </c>
      <c r="S186" s="267">
        <v>14</v>
      </c>
      <c r="T186" s="268">
        <v>15</v>
      </c>
      <c r="U186" s="280"/>
    </row>
    <row r="187" ht="16.4" customHeight="1" spans="1:21">
      <c r="A187" s="1" t="s">
        <v>289</v>
      </c>
      <c r="B187" s="142"/>
      <c r="C187" s="264">
        <v>5040110</v>
      </c>
      <c r="D187" s="34" t="s">
        <v>296</v>
      </c>
      <c r="E187" s="266"/>
      <c r="F187" s="269" t="s">
        <v>61</v>
      </c>
      <c r="G187" s="269" t="s">
        <v>61</v>
      </c>
      <c r="H187" s="269" t="s">
        <v>61</v>
      </c>
      <c r="I187" s="269" t="s">
        <v>61</v>
      </c>
      <c r="J187" s="269" t="s">
        <v>61</v>
      </c>
      <c r="K187" s="269" t="s">
        <v>61</v>
      </c>
      <c r="L187" s="269" t="s">
        <v>61</v>
      </c>
      <c r="M187" s="269" t="s">
        <v>61</v>
      </c>
      <c r="N187" s="269" t="s">
        <v>61</v>
      </c>
      <c r="O187" s="269" t="s">
        <v>61</v>
      </c>
      <c r="P187" s="269" t="s">
        <v>61</v>
      </c>
      <c r="Q187" s="269" t="s">
        <v>61</v>
      </c>
      <c r="R187" s="269" t="s">
        <v>61</v>
      </c>
      <c r="S187" s="269" t="s">
        <v>61</v>
      </c>
      <c r="T187" s="270" t="s">
        <v>61</v>
      </c>
      <c r="U187" s="280"/>
    </row>
    <row r="188" ht="16.4" customHeight="1" spans="1:21">
      <c r="A188" s="1" t="s">
        <v>171</v>
      </c>
      <c r="B188" s="76"/>
      <c r="C188" s="271">
        <v>5040120</v>
      </c>
      <c r="D188" s="132" t="s">
        <v>297</v>
      </c>
      <c r="E188" s="266"/>
      <c r="F188" s="272" t="s">
        <v>61</v>
      </c>
      <c r="G188" s="272" t="s">
        <v>61</v>
      </c>
      <c r="H188" s="272" t="s">
        <v>61</v>
      </c>
      <c r="I188" s="272" t="s">
        <v>61</v>
      </c>
      <c r="J188" s="272" t="s">
        <v>61</v>
      </c>
      <c r="K188" s="272" t="s">
        <v>61</v>
      </c>
      <c r="L188" s="272" t="s">
        <v>61</v>
      </c>
      <c r="M188" s="272" t="s">
        <v>61</v>
      </c>
      <c r="N188" s="272" t="s">
        <v>61</v>
      </c>
      <c r="O188" s="272" t="s">
        <v>61</v>
      </c>
      <c r="P188" s="272" t="s">
        <v>61</v>
      </c>
      <c r="Q188" s="272" t="s">
        <v>61</v>
      </c>
      <c r="R188" s="272" t="s">
        <v>61</v>
      </c>
      <c r="S188" s="272" t="s">
        <v>61</v>
      </c>
      <c r="T188" s="273" t="s">
        <v>61</v>
      </c>
      <c r="U188" s="280"/>
    </row>
    <row r="189" ht="16.4" customHeight="1" spans="1:21">
      <c r="A189" s="1" t="s">
        <v>171</v>
      </c>
      <c r="B189" s="274"/>
      <c r="C189" s="275">
        <v>5040130</v>
      </c>
      <c r="D189" s="276" t="s">
        <v>298</v>
      </c>
      <c r="E189" s="277"/>
      <c r="F189" s="278" t="s">
        <v>61</v>
      </c>
      <c r="G189" s="278" t="s">
        <v>61</v>
      </c>
      <c r="H189" s="278" t="s">
        <v>61</v>
      </c>
      <c r="I189" s="278" t="s">
        <v>61</v>
      </c>
      <c r="J189" s="278" t="s">
        <v>61</v>
      </c>
      <c r="K189" s="278" t="s">
        <v>61</v>
      </c>
      <c r="L189" s="278" t="s">
        <v>61</v>
      </c>
      <c r="M189" s="278" t="s">
        <v>61</v>
      </c>
      <c r="N189" s="278" t="s">
        <v>61</v>
      </c>
      <c r="O189" s="278" t="s">
        <v>61</v>
      </c>
      <c r="P189" s="278" t="s">
        <v>61</v>
      </c>
      <c r="Q189" s="278" t="s">
        <v>61</v>
      </c>
      <c r="R189" s="278" t="s">
        <v>61</v>
      </c>
      <c r="S189" s="278" t="s">
        <v>61</v>
      </c>
      <c r="T189" s="279" t="s">
        <v>61</v>
      </c>
      <c r="U189" s="280"/>
    </row>
    <row r="190" ht="16.4" customHeight="1" spans="1:21">
      <c r="A190" s="1" t="s">
        <v>289</v>
      </c>
      <c r="B190" s="259" t="s">
        <v>307</v>
      </c>
      <c r="C190" s="260"/>
      <c r="D190" s="261"/>
      <c r="E190" s="262"/>
    </row>
    <row r="191" ht="16.4" customHeight="1" spans="1:21">
      <c r="A191" s="1" t="s">
        <v>289</v>
      </c>
      <c r="B191" s="263"/>
      <c r="C191" s="264">
        <v>5040010</v>
      </c>
      <c r="D191" s="34" t="s">
        <v>240</v>
      </c>
      <c r="E191" s="239" t="e">
        <f>K128</f>
        <v>#NAME?</v>
      </c>
      <c r="F191" s="16" t="s">
        <v>308</v>
      </c>
    </row>
    <row r="192" ht="16.4" customHeight="1" spans="1:21">
      <c r="A192" s="1" t="s">
        <v>289</v>
      </c>
      <c r="B192" s="122" t="s">
        <v>293</v>
      </c>
      <c r="C192" s="265" t="s">
        <v>24</v>
      </c>
      <c r="D192" s="34" t="s">
        <v>294</v>
      </c>
      <c r="E192" s="239">
        <f>COUNTIF(F194:T194,"&lt;&gt;-")</f>
        <v>0</v>
      </c>
    </row>
    <row r="193" ht="16.4" customHeight="1" spans="1:21">
      <c r="A193" s="1" t="s">
        <v>289</v>
      </c>
      <c r="B193" s="142" t="s">
        <v>295</v>
      </c>
      <c r="C193" s="264"/>
      <c r="D193" s="123"/>
      <c r="E193" s="266"/>
      <c r="F193" s="267">
        <v>1</v>
      </c>
      <c r="G193" s="267">
        <v>2</v>
      </c>
      <c r="H193" s="267">
        <v>3</v>
      </c>
      <c r="I193" s="267">
        <v>4</v>
      </c>
      <c r="J193" s="267">
        <v>5</v>
      </c>
      <c r="K193" s="267">
        <v>6</v>
      </c>
      <c r="L193" s="267">
        <v>7</v>
      </c>
      <c r="M193" s="267">
        <v>8</v>
      </c>
      <c r="N193" s="267">
        <v>9</v>
      </c>
      <c r="O193" s="267">
        <v>10</v>
      </c>
      <c r="P193" s="267">
        <v>11</v>
      </c>
      <c r="Q193" s="267">
        <v>12</v>
      </c>
      <c r="R193" s="267">
        <v>13</v>
      </c>
      <c r="S193" s="267">
        <v>14</v>
      </c>
      <c r="T193" s="268">
        <v>15</v>
      </c>
      <c r="U193" s="280"/>
    </row>
    <row r="194" ht="16.4" customHeight="1" spans="1:21">
      <c r="A194" s="1" t="s">
        <v>289</v>
      </c>
      <c r="B194" s="142"/>
      <c r="C194" s="264">
        <v>5040110</v>
      </c>
      <c r="D194" s="34" t="s">
        <v>296</v>
      </c>
      <c r="E194" s="266"/>
      <c r="F194" s="269" t="s">
        <v>61</v>
      </c>
      <c r="G194" s="269" t="s">
        <v>61</v>
      </c>
      <c r="H194" s="269" t="s">
        <v>61</v>
      </c>
      <c r="I194" s="269" t="s">
        <v>61</v>
      </c>
      <c r="J194" s="269" t="s">
        <v>61</v>
      </c>
      <c r="K194" s="269" t="s">
        <v>61</v>
      </c>
      <c r="L194" s="269" t="s">
        <v>61</v>
      </c>
      <c r="M194" s="269" t="s">
        <v>61</v>
      </c>
      <c r="N194" s="269" t="s">
        <v>61</v>
      </c>
      <c r="O194" s="269" t="s">
        <v>61</v>
      </c>
      <c r="P194" s="269" t="s">
        <v>61</v>
      </c>
      <c r="Q194" s="269" t="s">
        <v>61</v>
      </c>
      <c r="R194" s="269" t="s">
        <v>61</v>
      </c>
      <c r="S194" s="269" t="s">
        <v>61</v>
      </c>
      <c r="T194" s="270" t="s">
        <v>61</v>
      </c>
      <c r="U194" s="280"/>
    </row>
    <row r="195" ht="16.4" customHeight="1" spans="1:21">
      <c r="A195" s="1" t="s">
        <v>171</v>
      </c>
      <c r="B195" s="76"/>
      <c r="C195" s="271">
        <v>5040120</v>
      </c>
      <c r="D195" s="132" t="s">
        <v>297</v>
      </c>
      <c r="E195" s="266"/>
      <c r="F195" s="272" t="s">
        <v>61</v>
      </c>
      <c r="G195" s="272" t="s">
        <v>61</v>
      </c>
      <c r="H195" s="272" t="s">
        <v>61</v>
      </c>
      <c r="I195" s="272" t="s">
        <v>61</v>
      </c>
      <c r="J195" s="272" t="s">
        <v>61</v>
      </c>
      <c r="K195" s="272" t="s">
        <v>61</v>
      </c>
      <c r="L195" s="272" t="s">
        <v>61</v>
      </c>
      <c r="M195" s="272" t="s">
        <v>61</v>
      </c>
      <c r="N195" s="272" t="s">
        <v>61</v>
      </c>
      <c r="O195" s="272" t="s">
        <v>61</v>
      </c>
      <c r="P195" s="272" t="s">
        <v>61</v>
      </c>
      <c r="Q195" s="272" t="s">
        <v>61</v>
      </c>
      <c r="R195" s="272" t="s">
        <v>61</v>
      </c>
      <c r="S195" s="272" t="s">
        <v>61</v>
      </c>
      <c r="T195" s="273" t="s">
        <v>61</v>
      </c>
      <c r="U195" s="280"/>
    </row>
    <row r="196" ht="16.4" customHeight="1" spans="1:21">
      <c r="A196" s="1" t="s">
        <v>171</v>
      </c>
      <c r="B196" s="274"/>
      <c r="C196" s="275">
        <v>5040130</v>
      </c>
      <c r="D196" s="276" t="s">
        <v>298</v>
      </c>
      <c r="E196" s="277"/>
      <c r="F196" s="278" t="s">
        <v>61</v>
      </c>
      <c r="G196" s="278" t="s">
        <v>61</v>
      </c>
      <c r="H196" s="278" t="s">
        <v>61</v>
      </c>
      <c r="I196" s="278" t="s">
        <v>61</v>
      </c>
      <c r="J196" s="278" t="s">
        <v>61</v>
      </c>
      <c r="K196" s="278" t="s">
        <v>61</v>
      </c>
      <c r="L196" s="278" t="s">
        <v>61</v>
      </c>
      <c r="M196" s="278" t="s">
        <v>61</v>
      </c>
      <c r="N196" s="278" t="s">
        <v>61</v>
      </c>
      <c r="O196" s="278" t="s">
        <v>61</v>
      </c>
      <c r="P196" s="278" t="s">
        <v>61</v>
      </c>
      <c r="Q196" s="278" t="s">
        <v>61</v>
      </c>
      <c r="R196" s="278" t="s">
        <v>61</v>
      </c>
      <c r="S196" s="278" t="s">
        <v>61</v>
      </c>
      <c r="T196" s="279" t="s">
        <v>61</v>
      </c>
      <c r="U196" s="280"/>
    </row>
    <row r="197" ht="16.4" customHeight="1" spans="1:21">
      <c r="A197" s="1" t="s">
        <v>289</v>
      </c>
      <c r="B197" s="259" t="s">
        <v>309</v>
      </c>
      <c r="C197" s="260"/>
      <c r="D197" s="261"/>
      <c r="E197" s="262"/>
    </row>
    <row r="198" ht="16.4" customHeight="1" spans="1:21">
      <c r="A198" s="1" t="s">
        <v>289</v>
      </c>
      <c r="B198" s="263"/>
      <c r="C198" s="264">
        <v>5040010</v>
      </c>
      <c r="D198" s="34" t="s">
        <v>240</v>
      </c>
      <c r="E198" s="239" t="e">
        <f>L128</f>
        <v>#NAME?</v>
      </c>
      <c r="F198" s="16" t="s">
        <v>310</v>
      </c>
    </row>
    <row r="199" ht="16.4" customHeight="1" spans="1:21">
      <c r="A199" s="1" t="s">
        <v>289</v>
      </c>
      <c r="B199" s="122" t="s">
        <v>293</v>
      </c>
      <c r="C199" s="265" t="s">
        <v>24</v>
      </c>
      <c r="D199" s="34" t="s">
        <v>294</v>
      </c>
      <c r="E199" s="239">
        <f>COUNTIF(F201:T201,"&lt;&gt;-")</f>
        <v>0</v>
      </c>
    </row>
    <row r="200" ht="16.4" customHeight="1" spans="1:21">
      <c r="A200" s="1" t="s">
        <v>289</v>
      </c>
      <c r="B200" s="142" t="s">
        <v>295</v>
      </c>
      <c r="C200" s="264"/>
      <c r="D200" s="123"/>
      <c r="E200" s="266"/>
      <c r="F200" s="267">
        <v>1</v>
      </c>
      <c r="G200" s="267">
        <v>2</v>
      </c>
      <c r="H200" s="267">
        <v>3</v>
      </c>
      <c r="I200" s="267">
        <v>4</v>
      </c>
      <c r="J200" s="267">
        <v>5</v>
      </c>
      <c r="K200" s="267">
        <v>6</v>
      </c>
      <c r="L200" s="267">
        <v>7</v>
      </c>
      <c r="M200" s="267">
        <v>8</v>
      </c>
      <c r="N200" s="267">
        <v>9</v>
      </c>
      <c r="O200" s="267">
        <v>10</v>
      </c>
      <c r="P200" s="267">
        <v>11</v>
      </c>
      <c r="Q200" s="267">
        <v>12</v>
      </c>
      <c r="R200" s="267">
        <v>13</v>
      </c>
      <c r="S200" s="267">
        <v>14</v>
      </c>
      <c r="T200" s="268">
        <v>15</v>
      </c>
      <c r="U200" s="280"/>
    </row>
    <row r="201" ht="16.4" customHeight="1" spans="1:21">
      <c r="A201" s="1" t="s">
        <v>289</v>
      </c>
      <c r="B201" s="142"/>
      <c r="C201" s="264">
        <v>5040110</v>
      </c>
      <c r="D201" s="34" t="s">
        <v>296</v>
      </c>
      <c r="E201" s="266"/>
      <c r="F201" s="269" t="s">
        <v>61</v>
      </c>
      <c r="G201" s="269" t="s">
        <v>61</v>
      </c>
      <c r="H201" s="269" t="s">
        <v>61</v>
      </c>
      <c r="I201" s="269" t="s">
        <v>61</v>
      </c>
      <c r="J201" s="269" t="s">
        <v>61</v>
      </c>
      <c r="K201" s="269" t="s">
        <v>61</v>
      </c>
      <c r="L201" s="269" t="s">
        <v>61</v>
      </c>
      <c r="M201" s="269" t="s">
        <v>61</v>
      </c>
      <c r="N201" s="269" t="s">
        <v>61</v>
      </c>
      <c r="O201" s="269" t="s">
        <v>61</v>
      </c>
      <c r="P201" s="269" t="s">
        <v>61</v>
      </c>
      <c r="Q201" s="269" t="s">
        <v>61</v>
      </c>
      <c r="R201" s="269" t="s">
        <v>61</v>
      </c>
      <c r="S201" s="269" t="s">
        <v>61</v>
      </c>
      <c r="T201" s="270" t="s">
        <v>61</v>
      </c>
      <c r="U201" s="280"/>
    </row>
    <row r="202" ht="16.4" customHeight="1" spans="1:21">
      <c r="A202" s="1" t="s">
        <v>171</v>
      </c>
      <c r="B202" s="76"/>
      <c r="C202" s="271">
        <v>5040120</v>
      </c>
      <c r="D202" s="132" t="s">
        <v>297</v>
      </c>
      <c r="E202" s="266"/>
      <c r="F202" s="272" t="s">
        <v>61</v>
      </c>
      <c r="G202" s="272" t="s">
        <v>61</v>
      </c>
      <c r="H202" s="272" t="s">
        <v>61</v>
      </c>
      <c r="I202" s="272" t="s">
        <v>61</v>
      </c>
      <c r="J202" s="272" t="s">
        <v>61</v>
      </c>
      <c r="K202" s="272" t="s">
        <v>61</v>
      </c>
      <c r="L202" s="272" t="s">
        <v>61</v>
      </c>
      <c r="M202" s="272" t="s">
        <v>61</v>
      </c>
      <c r="N202" s="272" t="s">
        <v>61</v>
      </c>
      <c r="O202" s="272" t="s">
        <v>61</v>
      </c>
      <c r="P202" s="272" t="s">
        <v>61</v>
      </c>
      <c r="Q202" s="272" t="s">
        <v>61</v>
      </c>
      <c r="R202" s="272" t="s">
        <v>61</v>
      </c>
      <c r="S202" s="272" t="s">
        <v>61</v>
      </c>
      <c r="T202" s="273" t="s">
        <v>61</v>
      </c>
      <c r="U202" s="280"/>
    </row>
    <row r="203" ht="16.4" customHeight="1" spans="1:21">
      <c r="A203" s="1" t="s">
        <v>171</v>
      </c>
      <c r="B203" s="274"/>
      <c r="C203" s="275">
        <v>5040130</v>
      </c>
      <c r="D203" s="276" t="s">
        <v>298</v>
      </c>
      <c r="E203" s="277"/>
      <c r="F203" s="278" t="s">
        <v>61</v>
      </c>
      <c r="G203" s="278" t="s">
        <v>61</v>
      </c>
      <c r="H203" s="278" t="s">
        <v>61</v>
      </c>
      <c r="I203" s="278" t="s">
        <v>61</v>
      </c>
      <c r="J203" s="278" t="s">
        <v>61</v>
      </c>
      <c r="K203" s="278" t="s">
        <v>61</v>
      </c>
      <c r="L203" s="278" t="s">
        <v>61</v>
      </c>
      <c r="M203" s="278" t="s">
        <v>61</v>
      </c>
      <c r="N203" s="278" t="s">
        <v>61</v>
      </c>
      <c r="O203" s="278" t="s">
        <v>61</v>
      </c>
      <c r="P203" s="278" t="s">
        <v>61</v>
      </c>
      <c r="Q203" s="278" t="s">
        <v>61</v>
      </c>
      <c r="R203" s="278" t="s">
        <v>61</v>
      </c>
      <c r="S203" s="278" t="s">
        <v>61</v>
      </c>
      <c r="T203" s="279" t="s">
        <v>61</v>
      </c>
      <c r="U203" s="280"/>
    </row>
    <row r="204" ht="16.4" customHeight="1" spans="1:21">
      <c r="A204" s="1" t="s">
        <v>289</v>
      </c>
      <c r="B204" s="259" t="s">
        <v>311</v>
      </c>
      <c r="C204" s="260"/>
      <c r="D204" s="261"/>
      <c r="E204" s="262"/>
    </row>
    <row r="205" ht="16.4" customHeight="1" spans="1:21">
      <c r="A205" s="1" t="s">
        <v>289</v>
      </c>
      <c r="B205" s="263"/>
      <c r="C205" s="264">
        <v>5040010</v>
      </c>
      <c r="D205" s="34" t="s">
        <v>240</v>
      </c>
      <c r="E205" s="239" t="e">
        <f>M128</f>
        <v>#NAME?</v>
      </c>
      <c r="F205" s="16" t="s">
        <v>312</v>
      </c>
    </row>
    <row r="206" ht="16.4" customHeight="1" spans="1:21">
      <c r="A206" s="1" t="s">
        <v>289</v>
      </c>
      <c r="B206" s="122" t="s">
        <v>293</v>
      </c>
      <c r="C206" s="265" t="s">
        <v>24</v>
      </c>
      <c r="D206" s="34" t="s">
        <v>294</v>
      </c>
      <c r="E206" s="239">
        <f>COUNTIF(F208:T208,"&lt;&gt;-")</f>
        <v>0</v>
      </c>
    </row>
    <row r="207" ht="16.4" customHeight="1" spans="1:21">
      <c r="A207" s="1" t="s">
        <v>289</v>
      </c>
      <c r="B207" s="142" t="s">
        <v>295</v>
      </c>
      <c r="C207" s="264"/>
      <c r="D207" s="123"/>
      <c r="E207" s="266"/>
      <c r="F207" s="267">
        <v>1</v>
      </c>
      <c r="G207" s="267">
        <v>2</v>
      </c>
      <c r="H207" s="267">
        <v>3</v>
      </c>
      <c r="I207" s="267">
        <v>4</v>
      </c>
      <c r="J207" s="267">
        <v>5</v>
      </c>
      <c r="K207" s="267">
        <v>6</v>
      </c>
      <c r="L207" s="267">
        <v>7</v>
      </c>
      <c r="M207" s="267">
        <v>8</v>
      </c>
      <c r="N207" s="267">
        <v>9</v>
      </c>
      <c r="O207" s="267">
        <v>10</v>
      </c>
      <c r="P207" s="267">
        <v>11</v>
      </c>
      <c r="Q207" s="267">
        <v>12</v>
      </c>
      <c r="R207" s="267">
        <v>13</v>
      </c>
      <c r="S207" s="267">
        <v>14</v>
      </c>
      <c r="T207" s="268">
        <v>15</v>
      </c>
      <c r="U207" s="280"/>
    </row>
    <row r="208" ht="16.4" customHeight="1" spans="1:21">
      <c r="A208" s="1" t="s">
        <v>289</v>
      </c>
      <c r="B208" s="142"/>
      <c r="C208" s="264">
        <v>5040110</v>
      </c>
      <c r="D208" s="34" t="s">
        <v>296</v>
      </c>
      <c r="E208" s="266"/>
      <c r="F208" s="269" t="s">
        <v>61</v>
      </c>
      <c r="G208" s="269" t="s">
        <v>61</v>
      </c>
      <c r="H208" s="269" t="s">
        <v>61</v>
      </c>
      <c r="I208" s="269" t="s">
        <v>61</v>
      </c>
      <c r="J208" s="269" t="s">
        <v>61</v>
      </c>
      <c r="K208" s="269" t="s">
        <v>61</v>
      </c>
      <c r="L208" s="269" t="s">
        <v>61</v>
      </c>
      <c r="M208" s="269" t="s">
        <v>61</v>
      </c>
      <c r="N208" s="269" t="s">
        <v>61</v>
      </c>
      <c r="O208" s="269" t="s">
        <v>61</v>
      </c>
      <c r="P208" s="269" t="s">
        <v>61</v>
      </c>
      <c r="Q208" s="269" t="s">
        <v>61</v>
      </c>
      <c r="R208" s="269" t="s">
        <v>61</v>
      </c>
      <c r="S208" s="269" t="s">
        <v>61</v>
      </c>
      <c r="T208" s="270" t="s">
        <v>61</v>
      </c>
      <c r="U208" s="280"/>
    </row>
    <row r="209" ht="16.4" customHeight="1" spans="1:21">
      <c r="A209" s="1" t="s">
        <v>171</v>
      </c>
      <c r="B209" s="76"/>
      <c r="C209" s="271">
        <v>5040120</v>
      </c>
      <c r="D209" s="132" t="s">
        <v>297</v>
      </c>
      <c r="E209" s="266"/>
      <c r="F209" s="272" t="s">
        <v>61</v>
      </c>
      <c r="G209" s="272" t="s">
        <v>61</v>
      </c>
      <c r="H209" s="272" t="s">
        <v>61</v>
      </c>
      <c r="I209" s="272" t="s">
        <v>61</v>
      </c>
      <c r="J209" s="272" t="s">
        <v>61</v>
      </c>
      <c r="K209" s="272" t="s">
        <v>61</v>
      </c>
      <c r="L209" s="272" t="s">
        <v>61</v>
      </c>
      <c r="M209" s="272" t="s">
        <v>61</v>
      </c>
      <c r="N209" s="272" t="s">
        <v>61</v>
      </c>
      <c r="O209" s="272" t="s">
        <v>61</v>
      </c>
      <c r="P209" s="272" t="s">
        <v>61</v>
      </c>
      <c r="Q209" s="272" t="s">
        <v>61</v>
      </c>
      <c r="R209" s="272" t="s">
        <v>61</v>
      </c>
      <c r="S209" s="272" t="s">
        <v>61</v>
      </c>
      <c r="T209" s="273" t="s">
        <v>61</v>
      </c>
      <c r="U209" s="280"/>
    </row>
    <row r="210" ht="16.4" customHeight="1" spans="1:21">
      <c r="A210" s="1" t="s">
        <v>171</v>
      </c>
      <c r="B210" s="274"/>
      <c r="C210" s="275">
        <v>5040130</v>
      </c>
      <c r="D210" s="276" t="s">
        <v>298</v>
      </c>
      <c r="E210" s="277"/>
      <c r="F210" s="278" t="s">
        <v>61</v>
      </c>
      <c r="G210" s="278" t="s">
        <v>61</v>
      </c>
      <c r="H210" s="278" t="s">
        <v>61</v>
      </c>
      <c r="I210" s="278" t="s">
        <v>61</v>
      </c>
      <c r="J210" s="278" t="s">
        <v>61</v>
      </c>
      <c r="K210" s="278" t="s">
        <v>61</v>
      </c>
      <c r="L210" s="278" t="s">
        <v>61</v>
      </c>
      <c r="M210" s="278" t="s">
        <v>61</v>
      </c>
      <c r="N210" s="278" t="s">
        <v>61</v>
      </c>
      <c r="O210" s="278" t="s">
        <v>61</v>
      </c>
      <c r="P210" s="278" t="s">
        <v>61</v>
      </c>
      <c r="Q210" s="278" t="s">
        <v>61</v>
      </c>
      <c r="R210" s="278" t="s">
        <v>61</v>
      </c>
      <c r="S210" s="278" t="s">
        <v>61</v>
      </c>
      <c r="T210" s="279" t="s">
        <v>61</v>
      </c>
      <c r="U210" s="280"/>
    </row>
    <row r="211" ht="16.4" customHeight="1" spans="1:21">
      <c r="A211" s="1" t="s">
        <v>289</v>
      </c>
      <c r="B211" s="259" t="s">
        <v>313</v>
      </c>
      <c r="C211" s="260"/>
      <c r="D211" s="261"/>
      <c r="E211" s="262"/>
    </row>
    <row r="212" ht="16.4" customHeight="1" spans="1:21">
      <c r="A212" s="1" t="s">
        <v>289</v>
      </c>
      <c r="B212" s="263"/>
      <c r="C212" s="264">
        <v>5040010</v>
      </c>
      <c r="D212" s="34" t="s">
        <v>240</v>
      </c>
      <c r="E212" s="239" t="e">
        <f>N128</f>
        <v>#NAME?</v>
      </c>
      <c r="F212" s="16" t="s">
        <v>314</v>
      </c>
    </row>
    <row r="213" ht="16.4" customHeight="1" spans="1:21">
      <c r="A213" s="1" t="s">
        <v>289</v>
      </c>
      <c r="B213" s="122" t="s">
        <v>293</v>
      </c>
      <c r="C213" s="265" t="s">
        <v>24</v>
      </c>
      <c r="D213" s="34" t="s">
        <v>294</v>
      </c>
      <c r="E213" s="239">
        <f>COUNTIF(F215:T215,"&lt;&gt;-")</f>
        <v>0</v>
      </c>
    </row>
    <row r="214" ht="16.4" customHeight="1" spans="1:21">
      <c r="A214" s="1" t="s">
        <v>289</v>
      </c>
      <c r="B214" s="142" t="s">
        <v>295</v>
      </c>
      <c r="C214" s="264"/>
      <c r="D214" s="123"/>
      <c r="E214" s="266"/>
      <c r="F214" s="267">
        <v>1</v>
      </c>
      <c r="G214" s="267">
        <v>2</v>
      </c>
      <c r="H214" s="267">
        <v>3</v>
      </c>
      <c r="I214" s="267">
        <v>4</v>
      </c>
      <c r="J214" s="267">
        <v>5</v>
      </c>
      <c r="K214" s="267">
        <v>6</v>
      </c>
      <c r="L214" s="267">
        <v>7</v>
      </c>
      <c r="M214" s="267">
        <v>8</v>
      </c>
      <c r="N214" s="267">
        <v>9</v>
      </c>
      <c r="O214" s="267">
        <v>10</v>
      </c>
      <c r="P214" s="267">
        <v>11</v>
      </c>
      <c r="Q214" s="267">
        <v>12</v>
      </c>
      <c r="R214" s="267">
        <v>13</v>
      </c>
      <c r="S214" s="267">
        <v>14</v>
      </c>
      <c r="T214" s="268">
        <v>15</v>
      </c>
      <c r="U214" s="280"/>
    </row>
    <row r="215" ht="16.4" customHeight="1" spans="1:21">
      <c r="A215" s="1" t="s">
        <v>289</v>
      </c>
      <c r="B215" s="142"/>
      <c r="C215" s="264">
        <v>5040110</v>
      </c>
      <c r="D215" s="34" t="s">
        <v>296</v>
      </c>
      <c r="E215" s="266"/>
      <c r="F215" s="269" t="s">
        <v>61</v>
      </c>
      <c r="G215" s="269" t="s">
        <v>61</v>
      </c>
      <c r="H215" s="269" t="s">
        <v>61</v>
      </c>
      <c r="I215" s="269" t="s">
        <v>61</v>
      </c>
      <c r="J215" s="269" t="s">
        <v>61</v>
      </c>
      <c r="K215" s="269" t="s">
        <v>61</v>
      </c>
      <c r="L215" s="269" t="s">
        <v>61</v>
      </c>
      <c r="M215" s="269" t="s">
        <v>61</v>
      </c>
      <c r="N215" s="269" t="s">
        <v>61</v>
      </c>
      <c r="O215" s="269" t="s">
        <v>61</v>
      </c>
      <c r="P215" s="269" t="s">
        <v>61</v>
      </c>
      <c r="Q215" s="269" t="s">
        <v>61</v>
      </c>
      <c r="R215" s="269" t="s">
        <v>61</v>
      </c>
      <c r="S215" s="269" t="s">
        <v>61</v>
      </c>
      <c r="T215" s="270" t="s">
        <v>61</v>
      </c>
      <c r="U215" s="280"/>
    </row>
    <row r="216" ht="16.4" customHeight="1" spans="1:21">
      <c r="A216" s="1" t="s">
        <v>171</v>
      </c>
      <c r="B216" s="76"/>
      <c r="C216" s="271">
        <v>5040120</v>
      </c>
      <c r="D216" s="132" t="s">
        <v>297</v>
      </c>
      <c r="E216" s="266"/>
      <c r="F216" s="272" t="s">
        <v>61</v>
      </c>
      <c r="G216" s="272" t="s">
        <v>61</v>
      </c>
      <c r="H216" s="272" t="s">
        <v>61</v>
      </c>
      <c r="I216" s="272" t="s">
        <v>61</v>
      </c>
      <c r="J216" s="272" t="s">
        <v>61</v>
      </c>
      <c r="K216" s="272" t="s">
        <v>61</v>
      </c>
      <c r="L216" s="272" t="s">
        <v>61</v>
      </c>
      <c r="M216" s="272" t="s">
        <v>61</v>
      </c>
      <c r="N216" s="272" t="s">
        <v>61</v>
      </c>
      <c r="O216" s="272" t="s">
        <v>61</v>
      </c>
      <c r="P216" s="272" t="s">
        <v>61</v>
      </c>
      <c r="Q216" s="272" t="s">
        <v>61</v>
      </c>
      <c r="R216" s="272" t="s">
        <v>61</v>
      </c>
      <c r="S216" s="272" t="s">
        <v>61</v>
      </c>
      <c r="T216" s="273" t="s">
        <v>61</v>
      </c>
      <c r="U216" s="280"/>
    </row>
    <row r="217" ht="16.4" customHeight="1" spans="1:21">
      <c r="A217" s="1" t="s">
        <v>171</v>
      </c>
      <c r="B217" s="274"/>
      <c r="C217" s="275">
        <v>5040130</v>
      </c>
      <c r="D217" s="276" t="s">
        <v>298</v>
      </c>
      <c r="E217" s="277"/>
      <c r="F217" s="278" t="s">
        <v>61</v>
      </c>
      <c r="G217" s="278" t="s">
        <v>61</v>
      </c>
      <c r="H217" s="278" t="s">
        <v>61</v>
      </c>
      <c r="I217" s="278" t="s">
        <v>61</v>
      </c>
      <c r="J217" s="278" t="s">
        <v>61</v>
      </c>
      <c r="K217" s="278" t="s">
        <v>61</v>
      </c>
      <c r="L217" s="278" t="s">
        <v>61</v>
      </c>
      <c r="M217" s="278" t="s">
        <v>61</v>
      </c>
      <c r="N217" s="278" t="s">
        <v>61</v>
      </c>
      <c r="O217" s="278" t="s">
        <v>61</v>
      </c>
      <c r="P217" s="278" t="s">
        <v>61</v>
      </c>
      <c r="Q217" s="278" t="s">
        <v>61</v>
      </c>
      <c r="R217" s="278" t="s">
        <v>61</v>
      </c>
      <c r="S217" s="278" t="s">
        <v>61</v>
      </c>
      <c r="T217" s="279" t="s">
        <v>61</v>
      </c>
      <c r="U217" s="280"/>
    </row>
    <row r="218" ht="16.4" customHeight="1" spans="1:21">
      <c r="A218" s="1" t="s">
        <v>289</v>
      </c>
      <c r="B218" s="259" t="s">
        <v>315</v>
      </c>
      <c r="C218" s="260"/>
      <c r="D218" s="261"/>
      <c r="E218" s="262"/>
    </row>
    <row r="219" ht="16.4" customHeight="1" spans="1:21">
      <c r="A219" s="1" t="s">
        <v>289</v>
      </c>
      <c r="B219" s="263"/>
      <c r="C219" s="264">
        <v>5040010</v>
      </c>
      <c r="D219" s="34" t="s">
        <v>240</v>
      </c>
      <c r="E219" s="239" t="e">
        <f>O128</f>
        <v>#NAME?</v>
      </c>
      <c r="F219" s="16" t="s">
        <v>316</v>
      </c>
    </row>
    <row r="220" ht="16.4" customHeight="1" spans="1:21">
      <c r="A220" s="1" t="s">
        <v>289</v>
      </c>
      <c r="B220" s="122" t="s">
        <v>293</v>
      </c>
      <c r="C220" s="265" t="s">
        <v>24</v>
      </c>
      <c r="D220" s="34" t="s">
        <v>294</v>
      </c>
      <c r="E220" s="239">
        <f>COUNTIF(F222:T222,"&lt;&gt;-")</f>
        <v>0</v>
      </c>
    </row>
    <row r="221" ht="16.4" customHeight="1" spans="1:21">
      <c r="A221" s="1" t="s">
        <v>289</v>
      </c>
      <c r="B221" s="142" t="s">
        <v>295</v>
      </c>
      <c r="C221" s="264"/>
      <c r="D221" s="123"/>
      <c r="E221" s="266"/>
      <c r="F221" s="267">
        <v>1</v>
      </c>
      <c r="G221" s="267">
        <v>2</v>
      </c>
      <c r="H221" s="267">
        <v>3</v>
      </c>
      <c r="I221" s="267">
        <v>4</v>
      </c>
      <c r="J221" s="267">
        <v>5</v>
      </c>
      <c r="K221" s="267">
        <v>6</v>
      </c>
      <c r="L221" s="267">
        <v>7</v>
      </c>
      <c r="M221" s="267">
        <v>8</v>
      </c>
      <c r="N221" s="267">
        <v>9</v>
      </c>
      <c r="O221" s="267">
        <v>10</v>
      </c>
      <c r="P221" s="267">
        <v>11</v>
      </c>
      <c r="Q221" s="267">
        <v>12</v>
      </c>
      <c r="R221" s="267">
        <v>13</v>
      </c>
      <c r="S221" s="267">
        <v>14</v>
      </c>
      <c r="T221" s="268">
        <v>15</v>
      </c>
      <c r="U221" s="280"/>
    </row>
    <row r="222" ht="16.4" customHeight="1" spans="1:21">
      <c r="A222" s="1" t="s">
        <v>289</v>
      </c>
      <c r="B222" s="142"/>
      <c r="C222" s="264">
        <v>5040110</v>
      </c>
      <c r="D222" s="34" t="s">
        <v>296</v>
      </c>
      <c r="E222" s="266"/>
      <c r="F222" s="269" t="s">
        <v>61</v>
      </c>
      <c r="G222" s="269" t="s">
        <v>61</v>
      </c>
      <c r="H222" s="269" t="s">
        <v>61</v>
      </c>
      <c r="I222" s="269" t="s">
        <v>61</v>
      </c>
      <c r="J222" s="269" t="s">
        <v>61</v>
      </c>
      <c r="K222" s="269" t="s">
        <v>61</v>
      </c>
      <c r="L222" s="269" t="s">
        <v>61</v>
      </c>
      <c r="M222" s="269" t="s">
        <v>61</v>
      </c>
      <c r="N222" s="269" t="s">
        <v>61</v>
      </c>
      <c r="O222" s="269" t="s">
        <v>61</v>
      </c>
      <c r="P222" s="269" t="s">
        <v>61</v>
      </c>
      <c r="Q222" s="269" t="s">
        <v>61</v>
      </c>
      <c r="R222" s="269" t="s">
        <v>61</v>
      </c>
      <c r="S222" s="269" t="s">
        <v>61</v>
      </c>
      <c r="T222" s="270" t="s">
        <v>61</v>
      </c>
      <c r="U222" s="280"/>
    </row>
    <row r="223" ht="16.4" customHeight="1" spans="1:21">
      <c r="A223" s="1" t="s">
        <v>171</v>
      </c>
      <c r="B223" s="76"/>
      <c r="C223" s="271">
        <v>5040120</v>
      </c>
      <c r="D223" s="132" t="s">
        <v>297</v>
      </c>
      <c r="E223" s="266"/>
      <c r="F223" s="272" t="s">
        <v>61</v>
      </c>
      <c r="G223" s="272" t="s">
        <v>61</v>
      </c>
      <c r="H223" s="272" t="s">
        <v>61</v>
      </c>
      <c r="I223" s="272" t="s">
        <v>61</v>
      </c>
      <c r="J223" s="272" t="s">
        <v>61</v>
      </c>
      <c r="K223" s="272" t="s">
        <v>61</v>
      </c>
      <c r="L223" s="272" t="s">
        <v>61</v>
      </c>
      <c r="M223" s="272" t="s">
        <v>61</v>
      </c>
      <c r="N223" s="272" t="s">
        <v>61</v>
      </c>
      <c r="O223" s="272" t="s">
        <v>61</v>
      </c>
      <c r="P223" s="272" t="s">
        <v>61</v>
      </c>
      <c r="Q223" s="272" t="s">
        <v>61</v>
      </c>
      <c r="R223" s="272" t="s">
        <v>61</v>
      </c>
      <c r="S223" s="272" t="s">
        <v>61</v>
      </c>
      <c r="T223" s="273" t="s">
        <v>61</v>
      </c>
      <c r="U223" s="280"/>
    </row>
    <row r="224" ht="16.4" customHeight="1" spans="1:21">
      <c r="A224" s="1" t="s">
        <v>171</v>
      </c>
      <c r="B224" s="274"/>
      <c r="C224" s="275">
        <v>5040130</v>
      </c>
      <c r="D224" s="276" t="s">
        <v>298</v>
      </c>
      <c r="E224" s="277"/>
      <c r="F224" s="278" t="s">
        <v>61</v>
      </c>
      <c r="G224" s="278" t="s">
        <v>61</v>
      </c>
      <c r="H224" s="278" t="s">
        <v>61</v>
      </c>
      <c r="I224" s="278" t="s">
        <v>61</v>
      </c>
      <c r="J224" s="278" t="s">
        <v>61</v>
      </c>
      <c r="K224" s="278" t="s">
        <v>61</v>
      </c>
      <c r="L224" s="278" t="s">
        <v>61</v>
      </c>
      <c r="M224" s="278" t="s">
        <v>61</v>
      </c>
      <c r="N224" s="278" t="s">
        <v>61</v>
      </c>
      <c r="O224" s="278" t="s">
        <v>61</v>
      </c>
      <c r="P224" s="278" t="s">
        <v>61</v>
      </c>
      <c r="Q224" s="278" t="s">
        <v>61</v>
      </c>
      <c r="R224" s="278" t="s">
        <v>61</v>
      </c>
      <c r="S224" s="278" t="s">
        <v>61</v>
      </c>
      <c r="T224" s="279" t="s">
        <v>61</v>
      </c>
      <c r="U224" s="280"/>
    </row>
    <row r="225" ht="16.4" customHeight="1" spans="1:21">
      <c r="A225" s="1" t="s">
        <v>289</v>
      </c>
      <c r="B225" s="259" t="s">
        <v>317</v>
      </c>
      <c r="C225" s="260"/>
      <c r="D225" s="261"/>
      <c r="E225" s="262"/>
    </row>
    <row r="226" ht="16.4" customHeight="1" spans="1:21">
      <c r="A226" s="1" t="s">
        <v>289</v>
      </c>
      <c r="B226" s="263"/>
      <c r="C226" s="264">
        <v>5040010</v>
      </c>
      <c r="D226" s="34" t="s">
        <v>240</v>
      </c>
      <c r="E226" s="239" t="e">
        <f>P128</f>
        <v>#NAME?</v>
      </c>
      <c r="F226" s="16" t="s">
        <v>318</v>
      </c>
    </row>
    <row r="227" ht="16.4" customHeight="1" spans="1:21">
      <c r="A227" s="1" t="s">
        <v>289</v>
      </c>
      <c r="B227" s="122" t="s">
        <v>293</v>
      </c>
      <c r="C227" s="265" t="s">
        <v>24</v>
      </c>
      <c r="D227" s="34" t="s">
        <v>294</v>
      </c>
      <c r="E227" s="239">
        <f>COUNTIF(F229:T229,"&lt;&gt;-")</f>
        <v>0</v>
      </c>
    </row>
    <row r="228" ht="16.4" customHeight="1" spans="1:21">
      <c r="A228" s="1" t="s">
        <v>289</v>
      </c>
      <c r="B228" s="142" t="s">
        <v>295</v>
      </c>
      <c r="C228" s="264"/>
      <c r="D228" s="123"/>
      <c r="E228" s="266"/>
      <c r="F228" s="267">
        <v>1</v>
      </c>
      <c r="G228" s="267">
        <v>2</v>
      </c>
      <c r="H228" s="267">
        <v>3</v>
      </c>
      <c r="I228" s="267">
        <v>4</v>
      </c>
      <c r="J228" s="267">
        <v>5</v>
      </c>
      <c r="K228" s="267">
        <v>6</v>
      </c>
      <c r="L228" s="267">
        <v>7</v>
      </c>
      <c r="M228" s="267">
        <v>8</v>
      </c>
      <c r="N228" s="267">
        <v>9</v>
      </c>
      <c r="O228" s="267">
        <v>10</v>
      </c>
      <c r="P228" s="267">
        <v>11</v>
      </c>
      <c r="Q228" s="267">
        <v>12</v>
      </c>
      <c r="R228" s="267">
        <v>13</v>
      </c>
      <c r="S228" s="267">
        <v>14</v>
      </c>
      <c r="T228" s="268">
        <v>15</v>
      </c>
      <c r="U228" s="280"/>
    </row>
    <row r="229" ht="16.4" customHeight="1" spans="1:21">
      <c r="A229" s="1" t="s">
        <v>289</v>
      </c>
      <c r="B229" s="142"/>
      <c r="C229" s="264">
        <v>5040110</v>
      </c>
      <c r="D229" s="34" t="s">
        <v>296</v>
      </c>
      <c r="E229" s="266"/>
      <c r="F229" s="269" t="s">
        <v>61</v>
      </c>
      <c r="G229" s="269" t="s">
        <v>61</v>
      </c>
      <c r="H229" s="269" t="s">
        <v>61</v>
      </c>
      <c r="I229" s="269" t="s">
        <v>61</v>
      </c>
      <c r="J229" s="269" t="s">
        <v>61</v>
      </c>
      <c r="K229" s="269" t="s">
        <v>61</v>
      </c>
      <c r="L229" s="269" t="s">
        <v>61</v>
      </c>
      <c r="M229" s="269" t="s">
        <v>61</v>
      </c>
      <c r="N229" s="269" t="s">
        <v>61</v>
      </c>
      <c r="O229" s="269" t="s">
        <v>61</v>
      </c>
      <c r="P229" s="269" t="s">
        <v>61</v>
      </c>
      <c r="Q229" s="269" t="s">
        <v>61</v>
      </c>
      <c r="R229" s="269" t="s">
        <v>61</v>
      </c>
      <c r="S229" s="269" t="s">
        <v>61</v>
      </c>
      <c r="T229" s="270" t="s">
        <v>61</v>
      </c>
      <c r="U229" s="280"/>
    </row>
    <row r="230" ht="16.4" customHeight="1" spans="1:21">
      <c r="A230" s="1" t="s">
        <v>171</v>
      </c>
      <c r="B230" s="76"/>
      <c r="C230" s="271">
        <v>5040120</v>
      </c>
      <c r="D230" s="132" t="s">
        <v>297</v>
      </c>
      <c r="E230" s="266"/>
      <c r="F230" s="272" t="s">
        <v>61</v>
      </c>
      <c r="G230" s="272" t="s">
        <v>61</v>
      </c>
      <c r="H230" s="272" t="s">
        <v>61</v>
      </c>
      <c r="I230" s="272" t="s">
        <v>61</v>
      </c>
      <c r="J230" s="272" t="s">
        <v>61</v>
      </c>
      <c r="K230" s="272" t="s">
        <v>61</v>
      </c>
      <c r="L230" s="272" t="s">
        <v>61</v>
      </c>
      <c r="M230" s="272" t="s">
        <v>61</v>
      </c>
      <c r="N230" s="272" t="s">
        <v>61</v>
      </c>
      <c r="O230" s="272" t="s">
        <v>61</v>
      </c>
      <c r="P230" s="272" t="s">
        <v>61</v>
      </c>
      <c r="Q230" s="272" t="s">
        <v>61</v>
      </c>
      <c r="R230" s="272" t="s">
        <v>61</v>
      </c>
      <c r="S230" s="272" t="s">
        <v>61</v>
      </c>
      <c r="T230" s="273" t="s">
        <v>61</v>
      </c>
      <c r="U230" s="280"/>
    </row>
    <row r="231" ht="16.4" customHeight="1" spans="1:21">
      <c r="A231" s="1" t="s">
        <v>171</v>
      </c>
      <c r="B231" s="274"/>
      <c r="C231" s="275">
        <v>5040130</v>
      </c>
      <c r="D231" s="276" t="s">
        <v>298</v>
      </c>
      <c r="E231" s="277"/>
      <c r="F231" s="278" t="s">
        <v>61</v>
      </c>
      <c r="G231" s="278" t="s">
        <v>61</v>
      </c>
      <c r="H231" s="278" t="s">
        <v>61</v>
      </c>
      <c r="I231" s="278" t="s">
        <v>61</v>
      </c>
      <c r="J231" s="278" t="s">
        <v>61</v>
      </c>
      <c r="K231" s="278" t="s">
        <v>61</v>
      </c>
      <c r="L231" s="278" t="s">
        <v>61</v>
      </c>
      <c r="M231" s="278" t="s">
        <v>61</v>
      </c>
      <c r="N231" s="278" t="s">
        <v>61</v>
      </c>
      <c r="O231" s="278" t="s">
        <v>61</v>
      </c>
      <c r="P231" s="278" t="s">
        <v>61</v>
      </c>
      <c r="Q231" s="278" t="s">
        <v>61</v>
      </c>
      <c r="R231" s="278" t="s">
        <v>61</v>
      </c>
      <c r="S231" s="278" t="s">
        <v>61</v>
      </c>
      <c r="T231" s="279" t="s">
        <v>61</v>
      </c>
      <c r="U231" s="280"/>
    </row>
    <row r="232" ht="16.4" customHeight="1" spans="1:21">
      <c r="A232" s="1" t="s">
        <v>289</v>
      </c>
      <c r="B232" s="259" t="s">
        <v>319</v>
      </c>
      <c r="C232" s="260"/>
      <c r="D232" s="261"/>
      <c r="E232" s="262"/>
    </row>
    <row r="233" ht="16.4" customHeight="1" spans="1:21">
      <c r="A233" s="1" t="s">
        <v>289</v>
      </c>
      <c r="B233" s="263"/>
      <c r="C233" s="264">
        <v>5040010</v>
      </c>
      <c r="D233" s="34" t="s">
        <v>240</v>
      </c>
      <c r="E233" s="239" t="e">
        <f>Q128</f>
        <v>#NAME?</v>
      </c>
      <c r="F233" s="16" t="s">
        <v>320</v>
      </c>
    </row>
    <row r="234" ht="16.4" customHeight="1" spans="1:21">
      <c r="A234" s="1" t="s">
        <v>289</v>
      </c>
      <c r="B234" s="122" t="s">
        <v>293</v>
      </c>
      <c r="C234" s="265" t="s">
        <v>24</v>
      </c>
      <c r="D234" s="34" t="s">
        <v>294</v>
      </c>
      <c r="E234" s="239">
        <f>COUNTIF(F236:T236,"&lt;&gt;-")</f>
        <v>0</v>
      </c>
    </row>
    <row r="235" ht="16.4" customHeight="1" spans="1:21">
      <c r="A235" s="1" t="s">
        <v>289</v>
      </c>
      <c r="B235" s="142" t="s">
        <v>295</v>
      </c>
      <c r="C235" s="264"/>
      <c r="D235" s="123"/>
      <c r="E235" s="266"/>
      <c r="F235" s="267">
        <v>1</v>
      </c>
      <c r="G235" s="267">
        <v>2</v>
      </c>
      <c r="H235" s="267">
        <v>3</v>
      </c>
      <c r="I235" s="267">
        <v>4</v>
      </c>
      <c r="J235" s="267">
        <v>5</v>
      </c>
      <c r="K235" s="267">
        <v>6</v>
      </c>
      <c r="L235" s="267">
        <v>7</v>
      </c>
      <c r="M235" s="267">
        <v>8</v>
      </c>
      <c r="N235" s="267">
        <v>9</v>
      </c>
      <c r="O235" s="267">
        <v>10</v>
      </c>
      <c r="P235" s="267">
        <v>11</v>
      </c>
      <c r="Q235" s="267">
        <v>12</v>
      </c>
      <c r="R235" s="267">
        <v>13</v>
      </c>
      <c r="S235" s="267">
        <v>14</v>
      </c>
      <c r="T235" s="268">
        <v>15</v>
      </c>
      <c r="U235" s="280"/>
    </row>
    <row r="236" ht="16.4" customHeight="1" spans="1:21">
      <c r="A236" s="1" t="s">
        <v>289</v>
      </c>
      <c r="B236" s="142"/>
      <c r="C236" s="264">
        <v>5040110</v>
      </c>
      <c r="D236" s="34" t="s">
        <v>296</v>
      </c>
      <c r="E236" s="266"/>
      <c r="F236" s="269" t="s">
        <v>61</v>
      </c>
      <c r="G236" s="269" t="s">
        <v>61</v>
      </c>
      <c r="H236" s="269" t="s">
        <v>61</v>
      </c>
      <c r="I236" s="269" t="s">
        <v>61</v>
      </c>
      <c r="J236" s="269" t="s">
        <v>61</v>
      </c>
      <c r="K236" s="269" t="s">
        <v>61</v>
      </c>
      <c r="L236" s="269" t="s">
        <v>61</v>
      </c>
      <c r="M236" s="269" t="s">
        <v>61</v>
      </c>
      <c r="N236" s="269" t="s">
        <v>61</v>
      </c>
      <c r="O236" s="269" t="s">
        <v>61</v>
      </c>
      <c r="P236" s="269" t="s">
        <v>61</v>
      </c>
      <c r="Q236" s="269" t="s">
        <v>61</v>
      </c>
      <c r="R236" s="269" t="s">
        <v>61</v>
      </c>
      <c r="S236" s="269" t="s">
        <v>61</v>
      </c>
      <c r="T236" s="270" t="s">
        <v>61</v>
      </c>
      <c r="U236" s="280"/>
    </row>
    <row r="237" ht="16.4" customHeight="1" spans="1:21">
      <c r="A237" s="1" t="s">
        <v>171</v>
      </c>
      <c r="B237" s="76"/>
      <c r="C237" s="271">
        <v>5040120</v>
      </c>
      <c r="D237" s="132" t="s">
        <v>297</v>
      </c>
      <c r="E237" s="266"/>
      <c r="F237" s="272" t="s">
        <v>61</v>
      </c>
      <c r="G237" s="272" t="s">
        <v>61</v>
      </c>
      <c r="H237" s="272" t="s">
        <v>61</v>
      </c>
      <c r="I237" s="272" t="s">
        <v>61</v>
      </c>
      <c r="J237" s="272" t="s">
        <v>61</v>
      </c>
      <c r="K237" s="272" t="s">
        <v>61</v>
      </c>
      <c r="L237" s="272" t="s">
        <v>61</v>
      </c>
      <c r="M237" s="272" t="s">
        <v>61</v>
      </c>
      <c r="N237" s="272" t="s">
        <v>61</v>
      </c>
      <c r="O237" s="272" t="s">
        <v>61</v>
      </c>
      <c r="P237" s="272" t="s">
        <v>61</v>
      </c>
      <c r="Q237" s="272" t="s">
        <v>61</v>
      </c>
      <c r="R237" s="272" t="s">
        <v>61</v>
      </c>
      <c r="S237" s="272" t="s">
        <v>61</v>
      </c>
      <c r="T237" s="273" t="s">
        <v>61</v>
      </c>
      <c r="U237" s="280"/>
    </row>
    <row r="238" ht="16.4" customHeight="1" spans="1:21">
      <c r="A238" s="1" t="s">
        <v>171</v>
      </c>
      <c r="B238" s="104"/>
      <c r="C238" s="281">
        <v>5040130</v>
      </c>
      <c r="D238" s="136" t="s">
        <v>298</v>
      </c>
      <c r="E238" s="282"/>
      <c r="F238" s="278" t="s">
        <v>61</v>
      </c>
      <c r="G238" s="278" t="s">
        <v>61</v>
      </c>
      <c r="H238" s="278" t="s">
        <v>61</v>
      </c>
      <c r="I238" s="278" t="s">
        <v>61</v>
      </c>
      <c r="J238" s="278" t="s">
        <v>61</v>
      </c>
      <c r="K238" s="278" t="s">
        <v>61</v>
      </c>
      <c r="L238" s="278" t="s">
        <v>61</v>
      </c>
      <c r="M238" s="278" t="s">
        <v>61</v>
      </c>
      <c r="N238" s="278" t="s">
        <v>61</v>
      </c>
      <c r="O238" s="278" t="s">
        <v>61</v>
      </c>
      <c r="P238" s="278" t="s">
        <v>61</v>
      </c>
      <c r="Q238" s="278" t="s">
        <v>61</v>
      </c>
      <c r="R238" s="278" t="s">
        <v>61</v>
      </c>
      <c r="S238" s="278" t="s">
        <v>61</v>
      </c>
      <c r="T238" s="279" t="s">
        <v>61</v>
      </c>
      <c r="U238" s="280"/>
    </row>
    <row r="239" ht="16.4" customHeight="1" spans="1:21">
      <c r="A239" s="1" t="s">
        <v>321</v>
      </c>
      <c r="B239" s="16"/>
      <c r="C239" s="17"/>
      <c r="D239" s="16"/>
      <c r="E239" s="17"/>
    </row>
    <row r="240" ht="16.4" customHeight="1" spans="1:21">
      <c r="A240" s="1" t="s">
        <v>234</v>
      </c>
      <c r="B240" s="53" t="s">
        <v>322</v>
      </c>
      <c r="C240" s="90"/>
      <c r="D240" s="55" t="s">
        <v>323</v>
      </c>
      <c r="E240" s="283">
        <f>COUNTIF(F241:I241,"&lt;&gt;-")</f>
        <v>4</v>
      </c>
      <c r="F240" s="17"/>
      <c r="G240" s="17"/>
      <c r="H240" s="17"/>
      <c r="I240" s="17"/>
      <c r="J240" s="17"/>
      <c r="K240" s="17"/>
      <c r="L240" s="17"/>
    </row>
    <row r="241" ht="16.4" customHeight="1" spans="1:12">
      <c r="B241" s="284"/>
      <c r="C241" s="49"/>
      <c r="D241" s="96" t="s">
        <v>324</v>
      </c>
      <c r="E241" s="252"/>
      <c r="F241" s="285" t="e" cm="1">
        <f t="array" ref="F241">IF(dc(6)&gt;=0,0,"-")</f>
        <v>#NAME?</v>
      </c>
      <c r="G241" s="285" t="e" cm="1">
        <f t="array" ref="G241">IF(dc(6)&gt;=1,1,"-")</f>
        <v>#NAME?</v>
      </c>
      <c r="H241" s="285" t="e" cm="1">
        <f t="array" ref="H241">IF(dc(6)&gt;=2,2,"-")</f>
        <v>#NAME?</v>
      </c>
      <c r="I241" s="286" t="e" cm="1">
        <f t="array" ref="I241">IF(dc(6)&gt;=3,3,"-")</f>
        <v>#NAME?</v>
      </c>
      <c r="J241" s="17"/>
      <c r="K241" s="17"/>
      <c r="L241" s="17"/>
    </row>
    <row r="242" ht="16.4" customHeight="1" spans="1:12">
      <c r="A242" s="1" t="s">
        <v>325</v>
      </c>
      <c r="B242" s="16"/>
      <c r="C242" s="17"/>
      <c r="D242" s="16"/>
      <c r="E242" s="17"/>
      <c r="F242" s="17"/>
      <c r="G242" s="17"/>
      <c r="H242" s="17"/>
      <c r="I242" s="17"/>
      <c r="J242" s="17"/>
      <c r="K242" s="17"/>
      <c r="L242" s="17"/>
    </row>
    <row r="243" ht="16.4" customHeight="1" spans="1:12">
      <c r="A243" s="1" t="s">
        <v>13</v>
      </c>
      <c r="B243" s="53" t="s">
        <v>326</v>
      </c>
      <c r="C243" s="90"/>
      <c r="D243" s="55"/>
      <c r="E243" s="287"/>
      <c r="F243" s="3"/>
      <c r="G243" s="3"/>
      <c r="H243" s="3"/>
      <c r="I243" s="3"/>
      <c r="J243" s="3"/>
      <c r="K243" s="3"/>
      <c r="L243" s="3"/>
    </row>
    <row r="244" ht="16.4" customHeight="1" spans="1:12">
      <c r="A244" s="1" t="s">
        <v>327</v>
      </c>
      <c r="B244" s="60" t="s">
        <v>328</v>
      </c>
      <c r="C244" s="33">
        <v>5050010</v>
      </c>
      <c r="D244" s="34" t="s">
        <v>329</v>
      </c>
      <c r="E244" s="288" t="e" cm="1">
        <f t="array" ref="E244">IF(VD(70)="TRUE","0",VD(41))</f>
        <v>#NAME?</v>
      </c>
    </row>
    <row r="245" ht="16.4" customHeight="1" spans="1:12">
      <c r="A245" s="1" t="s">
        <v>228</v>
      </c>
      <c r="B245" s="289"/>
      <c r="C245" s="245"/>
      <c r="D245" s="96" t="s">
        <v>330</v>
      </c>
      <c r="E245" s="290" t="e" cm="1">
        <f t="array" ref="E245">Fixed_Param(568,1)</f>
        <v>#NAME?</v>
      </c>
    </row>
    <row r="246" ht="16.4" customHeight="1" spans="1:12">
      <c r="A246" s="1" t="s">
        <v>331</v>
      </c>
      <c r="B246" s="284"/>
      <c r="C246" s="49"/>
      <c r="D246" s="96" t="s">
        <v>332</v>
      </c>
      <c r="E246" s="291" t="e" cm="1">
        <f t="array" ref="E246">Fixed_Param(565,1)</f>
        <v>#NAME?</v>
      </c>
    </row>
    <row r="247" ht="16.4" customHeight="1" spans="1:12">
      <c r="B247" s="16"/>
      <c r="C247" s="17"/>
      <c r="D247" s="16"/>
      <c r="E247" s="3"/>
    </row>
    <row r="248" ht="16.4" customHeight="1" spans="1:12">
      <c r="B248" s="53" t="s">
        <v>333</v>
      </c>
      <c r="C248" s="90"/>
      <c r="D248" s="55"/>
      <c r="E248" s="292"/>
    </row>
    <row r="249" ht="16.4" customHeight="1" spans="1:12">
      <c r="B249" s="60" t="s">
        <v>334</v>
      </c>
      <c r="C249" s="33"/>
      <c r="D249" s="34" t="s">
        <v>335</v>
      </c>
      <c r="E249" s="293" t="e" cm="1">
        <f t="array" ref="E249">IF(VD(200)="Used",1,0)</f>
        <v>#NAME?</v>
      </c>
    </row>
    <row r="250" ht="16.4" customHeight="1" spans="1:12">
      <c r="B250" s="60"/>
      <c r="C250" s="33"/>
      <c r="D250" s="34" t="s">
        <v>336</v>
      </c>
      <c r="E250" s="294"/>
      <c r="F250" s="295" t="e" cm="1">
        <f t="array" ref="F250">IF(VD(200)="Used",VD(202),"-")</f>
        <v>#NAME?</v>
      </c>
    </row>
    <row r="251" ht="16.4" customHeight="1" spans="1:12">
      <c r="B251" s="60"/>
      <c r="C251" s="33"/>
      <c r="D251" s="34" t="s">
        <v>337</v>
      </c>
      <c r="E251" s="294"/>
      <c r="F251" s="293" t="e" cm="1">
        <f t="array" ref="F251">IF(VD(200)="Used",VD(203),"-")</f>
        <v>#NAME?</v>
      </c>
    </row>
    <row r="252" ht="16.4" customHeight="1" spans="1:12">
      <c r="B252" s="60"/>
      <c r="C252" s="33"/>
      <c r="D252" s="34" t="s">
        <v>338</v>
      </c>
      <c r="E252" s="294"/>
      <c r="F252" s="293" t="e" cm="1">
        <f t="array" ref="F252">IF(VD(200)="Used",VD(204),"-")</f>
        <v>#NAME?</v>
      </c>
    </row>
    <row r="253" ht="16.4" customHeight="1" spans="1:12">
      <c r="B253" s="60"/>
      <c r="C253" s="33"/>
      <c r="D253" s="34" t="s">
        <v>339</v>
      </c>
      <c r="E253" s="294"/>
      <c r="F253" s="293" t="e" cm="1">
        <f t="array" ref="F253">IF(VD(200)="Used",VD(205),"-")</f>
        <v>#NAME?</v>
      </c>
    </row>
    <row r="254" ht="16.4" customHeight="1" spans="1:12">
      <c r="B254" s="60"/>
      <c r="C254" s="33"/>
      <c r="D254" s="34" t="s">
        <v>340</v>
      </c>
      <c r="E254" s="294"/>
      <c r="F254" s="293" t="e" cm="1">
        <f t="array" ref="F254">IF(VD(200)="Used",VD(206),"-")</f>
        <v>#NAME?</v>
      </c>
    </row>
    <row r="255" ht="16.4" customHeight="1" spans="1:12">
      <c r="B255" s="60"/>
      <c r="C255" s="33"/>
      <c r="D255" s="34" t="s">
        <v>341</v>
      </c>
      <c r="E255" s="294"/>
      <c r="F255" s="293" t="e" cm="1">
        <f t="array" ref="F255">IF(VD(200)="Used",VD(207),"-")</f>
        <v>#NAME?</v>
      </c>
    </row>
    <row r="256" ht="16.4" customHeight="1" spans="1:12">
      <c r="B256" s="60"/>
      <c r="C256" s="33"/>
      <c r="D256" s="34" t="s">
        <v>342</v>
      </c>
      <c r="E256" s="294"/>
      <c r="F256" s="293" t="e" cm="1">
        <f t="array" ref="F256">IF(VD(200)="Used",VD(208),"-")</f>
        <v>#NAME?</v>
      </c>
    </row>
    <row r="257" ht="16.4" customHeight="1" spans="1:6">
      <c r="B257" s="284"/>
      <c r="C257" s="49"/>
      <c r="D257" s="96" t="s">
        <v>343</v>
      </c>
      <c r="E257" s="296"/>
      <c r="F257" s="297" t="e" cm="1">
        <f t="array" ref="F257">IF(VD(200)="Used",VD(209),"-")</f>
        <v>#NAME?</v>
      </c>
    </row>
    <row r="258" ht="16.4" customHeight="1" spans="1:6">
      <c r="B258" s="16"/>
      <c r="C258" s="17"/>
      <c r="D258" s="16"/>
      <c r="E258" s="3"/>
    </row>
    <row r="259" ht="16.4" customHeight="1" spans="1:6">
      <c r="A259" s="1" t="s">
        <v>344</v>
      </c>
      <c r="B259" s="53" t="s">
        <v>345</v>
      </c>
      <c r="C259" s="298"/>
      <c r="D259" s="55"/>
      <c r="E259" s="68"/>
    </row>
    <row r="260" ht="16.4" customHeight="1" spans="1:6">
      <c r="A260" s="1" t="s">
        <v>29</v>
      </c>
      <c r="B260" s="85"/>
      <c r="C260" s="33">
        <v>5080010</v>
      </c>
      <c r="D260" s="87" t="s">
        <v>346</v>
      </c>
      <c r="E260" s="299" t="s">
        <v>347</v>
      </c>
    </row>
    <row r="261" ht="16.4" customHeight="1" spans="1:6">
      <c r="A261" s="1" t="s">
        <v>29</v>
      </c>
      <c r="B261" s="85"/>
      <c r="C261" s="33">
        <v>5080020</v>
      </c>
      <c r="D261" s="87" t="s">
        <v>348</v>
      </c>
      <c r="E261" s="299">
        <v>0</v>
      </c>
    </row>
    <row r="262" ht="16.4" customHeight="1" spans="1:6">
      <c r="A262" s="1" t="s">
        <v>29</v>
      </c>
      <c r="B262" s="224"/>
      <c r="C262" s="49">
        <v>5080030</v>
      </c>
      <c r="D262" s="225" t="s">
        <v>349</v>
      </c>
      <c r="E262" s="300">
        <v>65534</v>
      </c>
    </row>
    <row r="263" ht="16.4" customHeight="1" spans="1:6">
      <c r="B263" s="16"/>
      <c r="C263" s="17"/>
      <c r="D263" s="16"/>
      <c r="E263" s="3"/>
    </row>
    <row r="264" ht="16.4" customHeight="1" spans="1:6">
      <c r="B264" s="53" t="s">
        <v>350</v>
      </c>
      <c r="C264" s="298"/>
      <c r="D264" s="55"/>
      <c r="E264" s="68"/>
    </row>
    <row r="265" ht="16.4" customHeight="1" spans="1:6">
      <c r="A265" s="301" t="s">
        <v>351</v>
      </c>
      <c r="B265" s="85" t="s">
        <v>352</v>
      </c>
      <c r="C265" s="33">
        <v>5060010</v>
      </c>
      <c r="D265" s="87" t="s">
        <v>353</v>
      </c>
      <c r="E265" s="302" t="e" cm="1">
        <f t="array" ref="E265">VD(5060010)</f>
        <v>#NAME?</v>
      </c>
    </row>
    <row r="266" ht="16.4" customHeight="1" spans="1:6">
      <c r="A266" s="301" t="s">
        <v>351</v>
      </c>
      <c r="B266" s="85" t="s">
        <v>354</v>
      </c>
      <c r="C266" s="33">
        <v>5060020</v>
      </c>
      <c r="D266" s="87" t="s">
        <v>355</v>
      </c>
      <c r="E266" s="288" t="e" cm="1">
        <f t="array" ref="E266">IF(AND(VD(1)=2,VD(2)="ONE_ANTENNA"),VD(5060020),"")</f>
        <v>#NAME?</v>
      </c>
    </row>
    <row r="267" ht="16.4" customHeight="1" spans="1:6">
      <c r="A267" s="301" t="s">
        <v>351</v>
      </c>
      <c r="B267" s="85" t="s">
        <v>356</v>
      </c>
      <c r="C267" s="33">
        <v>5060030</v>
      </c>
      <c r="D267" s="87" t="s">
        <v>357</v>
      </c>
      <c r="E267" s="288" t="e" cm="1">
        <f t="array" ref="E267">IF(AND(VD(2)="TWO_ANTENNA",VD(1)=1),VD(5060030),"")</f>
        <v>#NAME?</v>
      </c>
    </row>
    <row r="268" ht="16.4" customHeight="1" spans="1:6">
      <c r="A268" s="301" t="s">
        <v>351</v>
      </c>
      <c r="B268" s="224" t="s">
        <v>358</v>
      </c>
      <c r="C268" s="49">
        <v>5060040</v>
      </c>
      <c r="D268" s="225" t="s">
        <v>359</v>
      </c>
      <c r="E268" s="303" t="e" cm="1">
        <f t="array" ref="E268">IF(AND(VD(1)=2,VD(2)&lt;&gt;"ONE_ANTENNA"),VD(5060040),"")</f>
        <v>#NAME?</v>
      </c>
    </row>
    <row r="269" ht="16.4" customHeight="1" spans="1:6">
      <c r="A269" s="1" t="s">
        <v>360</v>
      </c>
      <c r="B269" s="16"/>
      <c r="C269" s="17"/>
      <c r="D269" s="16"/>
      <c r="E269" s="3"/>
    </row>
    <row r="270" ht="16.4" customHeight="1" spans="1:6">
      <c r="A270" s="1" t="s">
        <v>361</v>
      </c>
      <c r="B270" s="53" t="s">
        <v>362</v>
      </c>
      <c r="C270" s="90"/>
      <c r="D270" s="55"/>
      <c r="E270" s="304"/>
    </row>
    <row r="271" ht="16.4" customHeight="1" spans="1:6">
      <c r="A271" s="1" t="s">
        <v>361</v>
      </c>
      <c r="B271" s="85" t="s">
        <v>363</v>
      </c>
      <c r="C271" s="33">
        <v>5150010</v>
      </c>
      <c r="D271" s="87" t="s">
        <v>364</v>
      </c>
      <c r="E271" s="617" t="s">
        <v>365</v>
      </c>
      <c r="F271" s="305"/>
    </row>
    <row r="272" ht="16.4" customHeight="1" spans="1:6">
      <c r="A272" s="1" t="s">
        <v>366</v>
      </c>
      <c r="B272" s="85"/>
      <c r="C272" s="33"/>
      <c r="D272" s="87" t="s">
        <v>367</v>
      </c>
      <c r="E272" s="270" t="e" cm="1">
        <f t="array" ref="E272">Fixed_Param(309,1)</f>
        <v>#NAME?</v>
      </c>
      <c r="F272" s="305"/>
    </row>
    <row r="273" ht="16.4" customHeight="1" spans="1:6">
      <c r="A273" s="1" t="s">
        <v>368</v>
      </c>
      <c r="B273" s="306" t="s">
        <v>369</v>
      </c>
      <c r="C273" s="42">
        <v>5150030</v>
      </c>
      <c r="D273" s="87" t="s">
        <v>370</v>
      </c>
      <c r="E273" s="270" t="e" cm="1">
        <f t="array" ref="E273">Fixed_Param(102,1)</f>
        <v>#NAME?</v>
      </c>
      <c r="F273" s="305"/>
    </row>
    <row r="274" ht="16.4" customHeight="1" spans="1:6">
      <c r="A274" s="1" t="s">
        <v>371</v>
      </c>
      <c r="B274" s="306"/>
      <c r="C274" s="42"/>
      <c r="D274" s="87" t="s">
        <v>372</v>
      </c>
      <c r="E274" s="288" t="s">
        <v>83</v>
      </c>
      <c r="F274" s="307"/>
    </row>
    <row r="275" ht="16.4" customHeight="1" spans="1:6">
      <c r="A275" s="1" t="s">
        <v>373</v>
      </c>
      <c r="B275" s="308"/>
      <c r="C275" s="59"/>
      <c r="D275" s="225" t="s">
        <v>374</v>
      </c>
      <c r="E275" s="215" t="e" cm="1">
        <f t="array" ref="E275">Fixed_Param(106,1)</f>
        <v>#NAME?</v>
      </c>
      <c r="F275" s="305"/>
    </row>
    <row r="276" ht="16.4" customHeight="1" spans="1:6">
      <c r="F276" s="309"/>
    </row>
    <row r="277" ht="16.4" customHeight="1" spans="1:6">
      <c r="A277" s="1" t="s">
        <v>375</v>
      </c>
      <c r="B277" s="53" t="s">
        <v>376</v>
      </c>
      <c r="C277" s="54"/>
      <c r="D277" s="310"/>
      <c r="E277" s="311"/>
      <c r="F277" s="309"/>
    </row>
    <row r="278" ht="16.4" customHeight="1" spans="1:6">
      <c r="A278" s="1" t="s">
        <v>375</v>
      </c>
      <c r="B278" s="41"/>
      <c r="C278" s="42"/>
      <c r="D278" s="87" t="s">
        <v>377</v>
      </c>
      <c r="E278" s="202" t="e" cm="1">
        <f t="array" ref="E278">VD(42)</f>
        <v>#NAME?</v>
      </c>
      <c r="F278" s="309"/>
    </row>
    <row r="279" ht="16.4" customHeight="1" spans="1:6">
      <c r="A279" s="1" t="s">
        <v>375</v>
      </c>
      <c r="B279" s="41"/>
      <c r="C279" s="42"/>
      <c r="D279" s="312" t="s">
        <v>378</v>
      </c>
      <c r="E279" s="202" t="e" cm="1">
        <f t="array" ref="E279">VD(43)</f>
        <v>#NAME?</v>
      </c>
      <c r="F279" s="309"/>
    </row>
    <row r="280" ht="16.4" customHeight="1" spans="1:6">
      <c r="A280" s="1" t="s">
        <v>375</v>
      </c>
      <c r="B280" s="41"/>
      <c r="C280" s="42"/>
      <c r="D280" s="312" t="s">
        <v>379</v>
      </c>
      <c r="E280" s="202" t="e" cm="1">
        <f t="array" ref="E280">VD(44)</f>
        <v>#NAME?</v>
      </c>
      <c r="F280" s="309"/>
    </row>
    <row r="281" ht="16.4" customHeight="1" spans="1:6">
      <c r="A281" s="1" t="s">
        <v>375</v>
      </c>
      <c r="B281" s="45"/>
      <c r="C281" s="35"/>
      <c r="D281" s="313" t="s">
        <v>380</v>
      </c>
      <c r="E281" s="202" t="e" cm="1">
        <f t="array" ref="E281">VD(45)</f>
        <v>#NAME?</v>
      </c>
      <c r="F281" s="309"/>
    </row>
    <row r="282" ht="16.4" customHeight="1" spans="1:6">
      <c r="B282" s="48"/>
      <c r="C282" s="59"/>
      <c r="D282" s="96" t="s">
        <v>381</v>
      </c>
      <c r="E282" s="314" t="e" cm="1">
        <f t="array" ref="E282">VD(47)</f>
        <v>#NAME?</v>
      </c>
      <c r="F282" s="309"/>
    </row>
    <row r="283" ht="16.4" customHeight="1" spans="1:6">
      <c r="C283" s="2"/>
    </row>
    <row r="284" ht="16.4" customHeight="1" spans="1:6">
      <c r="A284" s="1" t="s">
        <v>361</v>
      </c>
      <c r="B284" s="315" t="s">
        <v>382</v>
      </c>
      <c r="C284" s="163"/>
      <c r="D284" s="164" t="s">
        <v>383</v>
      </c>
      <c r="E284" s="316"/>
    </row>
    <row r="285" ht="16.4" customHeight="1" spans="1:6">
      <c r="A285" s="1" t="s">
        <v>361</v>
      </c>
      <c r="B285" s="175" t="s">
        <v>384</v>
      </c>
      <c r="C285" s="176">
        <v>5160010</v>
      </c>
      <c r="D285" s="43" t="s">
        <v>385</v>
      </c>
      <c r="E285" s="121" t="e" cm="1">
        <f t="array" ref="E285">VD(4)&amp;LEFT(VD(6))</f>
        <v>#NAME?</v>
      </c>
      <c r="F285" s="2" t="s">
        <v>386</v>
      </c>
    </row>
    <row r="286" ht="16.4" customHeight="1" spans="1:6">
      <c r="A286" s="1" t="s">
        <v>361</v>
      </c>
      <c r="B286" s="182" t="s">
        <v>387</v>
      </c>
      <c r="C286" s="183">
        <v>5160020</v>
      </c>
      <c r="D286" s="50" t="s">
        <v>388</v>
      </c>
      <c r="E286" s="317" t="e" cm="1">
        <f t="array" ref="E286">VD(5)&amp;LEFT(VD(7))</f>
        <v>#NAME?</v>
      </c>
      <c r="F286" s="2" t="s">
        <v>389</v>
      </c>
    </row>
    <row r="287" ht="16.4" customHeight="1"/>
    <row r="288" ht="16.4" customHeight="1" spans="1:6">
      <c r="A288" s="1" t="s">
        <v>390</v>
      </c>
      <c r="B288" s="315" t="s">
        <v>391</v>
      </c>
      <c r="C288" s="163"/>
      <c r="D288" s="164"/>
      <c r="E288" s="316"/>
    </row>
    <row r="289" ht="16.4" customHeight="1" spans="1:13">
      <c r="A289" s="1" t="s">
        <v>390</v>
      </c>
      <c r="B289" s="175" t="s">
        <v>392</v>
      </c>
      <c r="C289" s="176">
        <v>5180010</v>
      </c>
      <c r="D289" s="43" t="s">
        <v>393</v>
      </c>
      <c r="E289" s="318" t="e" cm="1">
        <f t="array" ref="E289">IF(VD(30)="Y",0,VD(5180010))</f>
        <v>#NAME?</v>
      </c>
      <c r="F289" s="305"/>
    </row>
    <row r="290" ht="16.4" customHeight="1" spans="1:13">
      <c r="A290" s="1" t="s">
        <v>371</v>
      </c>
      <c r="B290" s="319" t="s">
        <v>394</v>
      </c>
      <c r="C290" s="193">
        <v>5180020</v>
      </c>
      <c r="D290" s="46" t="s">
        <v>395</v>
      </c>
      <c r="E290" s="318" t="e" cm="1">
        <f t="array" ref="E290">VD(5180020)</f>
        <v>#NAME?</v>
      </c>
      <c r="F290" s="305"/>
    </row>
    <row r="291" ht="16.4" customHeight="1" spans="1:13">
      <c r="A291" s="1" t="s">
        <v>396</v>
      </c>
      <c r="B291" s="182" t="s">
        <v>397</v>
      </c>
      <c r="C291" s="183"/>
      <c r="D291" s="50" t="s">
        <v>398</v>
      </c>
      <c r="E291" s="303" t="e" cm="1">
        <f t="array" ref="E291">dc(104)</f>
        <v>#NAME?</v>
      </c>
      <c r="F291" s="305"/>
    </row>
    <row r="292" ht="16.4" customHeight="1"/>
    <row r="293" ht="16.4" customHeight="1" spans="1:13">
      <c r="A293" s="1" t="s">
        <v>399</v>
      </c>
      <c r="B293" s="53" t="s">
        <v>400</v>
      </c>
      <c r="C293" s="54"/>
      <c r="D293" s="320"/>
      <c r="E293" s="68"/>
    </row>
    <row r="294" ht="16.4" customHeight="1" spans="1:13">
      <c r="A294" s="1" t="s">
        <v>401</v>
      </c>
      <c r="B294" s="41"/>
      <c r="C294" s="42"/>
      <c r="D294" s="312" t="s">
        <v>402</v>
      </c>
      <c r="E294" s="78" t="e" cm="1">
        <f t="array" ref="E294">Fixed_Param(1233,1)</f>
        <v>#NAME?</v>
      </c>
      <c r="F294" s="309"/>
    </row>
    <row r="295" ht="16.4" customHeight="1" spans="1:13">
      <c r="A295" s="1" t="s">
        <v>401</v>
      </c>
      <c r="B295" s="321"/>
      <c r="C295" s="42"/>
      <c r="D295" s="87" t="s">
        <v>403</v>
      </c>
      <c r="E295" s="239">
        <f>COUNTIF(F297:J297,"&lt;&gt;-")</f>
        <v>1</v>
      </c>
    </row>
    <row r="296" ht="16.4" customHeight="1" spans="1:13">
      <c r="A296" s="1" t="s">
        <v>404</v>
      </c>
      <c r="B296" s="85" t="s">
        <v>405</v>
      </c>
      <c r="C296" s="33"/>
      <c r="D296" s="87" t="s">
        <v>237</v>
      </c>
      <c r="E296" s="322"/>
      <c r="F296" s="29">
        <v>1</v>
      </c>
      <c r="G296" s="29">
        <v>2</v>
      </c>
      <c r="H296" s="29">
        <v>3</v>
      </c>
      <c r="I296" s="29">
        <v>4</v>
      </c>
      <c r="J296" s="36">
        <v>5</v>
      </c>
      <c r="L296" s="53" t="s">
        <v>24</v>
      </c>
      <c r="M296" s="323"/>
    </row>
    <row r="297" ht="16.4" customHeight="1" spans="1:13">
      <c r="A297" s="1" t="s">
        <v>406</v>
      </c>
      <c r="B297" s="41"/>
      <c r="C297" s="42"/>
      <c r="D297" s="87" t="s">
        <v>407</v>
      </c>
      <c r="E297" s="322"/>
      <c r="F297" s="253" t="e" cm="1">
        <f t="array" ref="F297">IF(AND(ID(75)="Used",ID(79)="HL"),Fixed_Param(114,1),IF(AND(ID(75)="Used",ID(79)="HPTS"),Fixed_Param(115,1),"-"))</f>
        <v>#NAME?</v>
      </c>
      <c r="G297" s="212" t="s">
        <v>61</v>
      </c>
      <c r="H297" s="212" t="s">
        <v>61</v>
      </c>
      <c r="I297" s="212" t="s">
        <v>61</v>
      </c>
      <c r="J297" s="226" t="s">
        <v>61</v>
      </c>
      <c r="L297" s="324" t="s">
        <v>408</v>
      </c>
      <c r="M297" s="325" t="str">
        <f>IF('Train type (2)'!n_of_nid_xusers_serial_link=0,"FALSE","TRUE")</f>
        <v>TRUE</v>
      </c>
    </row>
    <row r="298" ht="16.4" customHeight="1" spans="1:13">
      <c r="A298" s="1" t="s">
        <v>409</v>
      </c>
      <c r="B298" s="41"/>
      <c r="C298" s="42"/>
      <c r="D298" s="87" t="s">
        <v>410</v>
      </c>
      <c r="E298" s="239">
        <f>COUNTIF(F300:J300,"&lt;&gt;-")</f>
        <v>0</v>
      </c>
    </row>
    <row r="299" ht="16.4" customHeight="1" spans="1:13">
      <c r="B299" s="85" t="s">
        <v>411</v>
      </c>
      <c r="C299" s="42"/>
      <c r="D299" s="87" t="s">
        <v>237</v>
      </c>
      <c r="E299" s="294"/>
      <c r="F299" s="29">
        <v>1</v>
      </c>
      <c r="G299" s="29">
        <v>2</v>
      </c>
      <c r="H299" s="29">
        <v>3</v>
      </c>
      <c r="I299" s="29">
        <v>4</v>
      </c>
      <c r="J299" s="36">
        <v>5</v>
      </c>
    </row>
    <row r="300" ht="16.4" customHeight="1" spans="1:13">
      <c r="B300" s="48"/>
      <c r="C300" s="59"/>
      <c r="D300" s="225" t="s">
        <v>412</v>
      </c>
      <c r="E300" s="326"/>
      <c r="F300" s="212" t="s">
        <v>61</v>
      </c>
      <c r="G300" s="212" t="s">
        <v>61</v>
      </c>
      <c r="H300" s="212" t="s">
        <v>61</v>
      </c>
      <c r="I300" s="212" t="s">
        <v>61</v>
      </c>
      <c r="J300" s="226" t="s">
        <v>61</v>
      </c>
    </row>
    <row r="301" ht="16.4" customHeight="1" spans="1:13">
      <c r="E301" s="3"/>
    </row>
    <row r="302" ht="16.4" customHeight="1" spans="1:13">
      <c r="A302" s="1" t="s">
        <v>413</v>
      </c>
      <c r="B302" s="53" t="s">
        <v>414</v>
      </c>
      <c r="C302" s="54"/>
      <c r="D302" s="310"/>
      <c r="E302" s="327"/>
    </row>
    <row r="303" ht="16.4" customHeight="1" spans="1:13">
      <c r="A303" s="1" t="s">
        <v>413</v>
      </c>
      <c r="B303" s="41"/>
      <c r="C303" s="42"/>
      <c r="D303" s="87" t="s">
        <v>415</v>
      </c>
      <c r="E303" s="328" t="e" cm="1">
        <f t="array" ref="E303">dc(91)</f>
        <v>#NAME?</v>
      </c>
    </row>
    <row r="304" ht="16.4" customHeight="1" spans="1:13">
      <c r="A304" s="1" t="s">
        <v>413</v>
      </c>
      <c r="B304" s="41"/>
      <c r="C304" s="42"/>
      <c r="D304" s="34" t="s">
        <v>416</v>
      </c>
      <c r="E304" s="318" t="e" cm="1">
        <f t="array" ref="E304">IF(E303="TRUE",dc(92),0)</f>
        <v>#NAME?</v>
      </c>
    </row>
    <row r="305" ht="16.4" customHeight="1" spans="1:6">
      <c r="A305" s="1" t="s">
        <v>413</v>
      </c>
      <c r="B305" s="48"/>
      <c r="C305" s="59"/>
      <c r="D305" s="96" t="s">
        <v>417</v>
      </c>
      <c r="E305" s="329" t="e" cm="1">
        <f t="array" ref="E305">IF(E303="TRUE",dc(93),0)</f>
        <v>#NAME?</v>
      </c>
    </row>
    <row r="306" ht="16.4" customHeight="1" spans="1:6">
      <c r="D306" s="16"/>
      <c r="E306" s="330"/>
    </row>
    <row r="307" ht="16.4" customHeight="1" spans="1:6">
      <c r="A307" s="1" t="s">
        <v>418</v>
      </c>
      <c r="B307" s="53" t="s">
        <v>419</v>
      </c>
      <c r="C307" s="54"/>
      <c r="D307" s="310"/>
      <c r="E307" s="327"/>
    </row>
    <row r="308" ht="16.4" customHeight="1" spans="1:6">
      <c r="A308" s="1" t="s">
        <v>418</v>
      </c>
      <c r="B308" s="85" t="s">
        <v>420</v>
      </c>
      <c r="C308" s="42"/>
      <c r="D308" s="87" t="s">
        <v>421</v>
      </c>
      <c r="E308" s="331" t="e" cm="1">
        <f t="array" ref="E308">IF(ID(1300)="Not Used","NO",ID(1301))</f>
        <v>#NAME?</v>
      </c>
      <c r="F308" s="16"/>
    </row>
    <row r="309" ht="16.4" customHeight="1" spans="1:6">
      <c r="A309" s="1" t="s">
        <v>418</v>
      </c>
      <c r="B309" s="224" t="s">
        <v>422</v>
      </c>
      <c r="C309" s="59"/>
      <c r="D309" s="225" t="s">
        <v>423</v>
      </c>
      <c r="E309" s="303" t="e" cm="1">
        <f t="array" ref="E309">IF(AND(ID(1300)="Used",ID(1301)="BRAKE_CYLINDER"),ID(1302),2.35)</f>
        <v>#NAME?</v>
      </c>
      <c r="F309" s="16"/>
    </row>
    <row r="310" ht="16.4" customHeight="1"/>
    <row r="311" ht="16.4" customHeight="1" spans="1:6">
      <c r="A311" s="1" t="s">
        <v>361</v>
      </c>
      <c r="B311" s="315" t="s">
        <v>424</v>
      </c>
      <c r="C311" s="163"/>
      <c r="D311" s="332"/>
      <c r="E311" s="327"/>
    </row>
    <row r="312" ht="16.4" customHeight="1" spans="1:6">
      <c r="A312" s="1" t="s">
        <v>425</v>
      </c>
      <c r="B312" s="182"/>
      <c r="C312" s="183"/>
      <c r="D312" s="333" t="s">
        <v>426</v>
      </c>
      <c r="E312" s="334" t="e" cm="1">
        <f t="array" ref="E312">VD(2)</f>
        <v>#NAME?</v>
      </c>
    </row>
    <row r="313" ht="16.4" customHeight="1" spans="1:6">
      <c r="A313" s="1" t="s">
        <v>427</v>
      </c>
      <c r="B313" s="196"/>
      <c r="C313" s="108"/>
      <c r="D313" s="335"/>
      <c r="E313" s="336"/>
      <c r="F313" s="309"/>
    </row>
    <row r="314" ht="16.4" customHeight="1" spans="1:6">
      <c r="A314" s="1" t="s">
        <v>428</v>
      </c>
      <c r="B314" s="53" t="s">
        <v>429</v>
      </c>
      <c r="C314" s="90"/>
      <c r="D314" s="55"/>
      <c r="E314" s="304"/>
    </row>
    <row r="315" ht="16.4" customHeight="1" spans="1:6">
      <c r="A315" s="337" t="s">
        <v>430</v>
      </c>
      <c r="B315" s="284"/>
      <c r="C315" s="49"/>
      <c r="D315" s="225" t="s">
        <v>431</v>
      </c>
      <c r="E315" s="338" t="e" cm="1">
        <f t="array" ref="E315">IF(AND(VD(52)="ETH_SIL2",VD(59)="TWINS"),Fixed_Param(201,1),IF(AND(VD(52)="ETH_SIL2",VD(59)="SENSE"),Fixed_Param(103,1),IF(VD(52)="PROFIBUS_SIL2",Fixed_Param(104,1),IF(AND(VD(52)="MVB_SDTV2",VD(666)="TRUE"),Fixed_Param(308,1),Fixed_Param(63,1)))))</f>
        <v>#NAME?</v>
      </c>
      <c r="F315" s="339"/>
    </row>
    <row r="316" ht="16.4" customHeight="1" spans="1:6">
      <c r="A316" s="1" t="s">
        <v>432</v>
      </c>
    </row>
    <row r="317" ht="16.4" customHeight="1" spans="1:6">
      <c r="A317" s="1" t="s">
        <v>35</v>
      </c>
      <c r="B317" s="196"/>
      <c r="C317" s="108"/>
      <c r="D317" s="335"/>
      <c r="E317" s="336"/>
    </row>
    <row r="318" ht="16.4" customHeight="1" spans="1:6">
      <c r="A318" s="1" t="s">
        <v>433</v>
      </c>
      <c r="B318" s="190" t="s">
        <v>434</v>
      </c>
      <c r="C318" s="163">
        <v>5140000</v>
      </c>
      <c r="D318" s="164"/>
      <c r="E318" s="68"/>
    </row>
    <row r="319" ht="16.4" customHeight="1" spans="1:6">
      <c r="A319" s="1" t="s">
        <v>435</v>
      </c>
      <c r="B319" s="85" t="s">
        <v>436</v>
      </c>
      <c r="C319" s="176">
        <v>5140020</v>
      </c>
      <c r="D319" s="43" t="s">
        <v>437</v>
      </c>
      <c r="E319" s="95">
        <v>1000</v>
      </c>
      <c r="F319" s="2" t="s">
        <v>438</v>
      </c>
    </row>
    <row r="320" ht="16.4" customHeight="1" spans="1:6">
      <c r="A320" s="1" t="s">
        <v>439</v>
      </c>
      <c r="B320" s="85" t="s">
        <v>440</v>
      </c>
      <c r="C320" s="176">
        <v>5140025</v>
      </c>
      <c r="D320" s="43" t="s">
        <v>441</v>
      </c>
      <c r="E320" s="95">
        <v>1000</v>
      </c>
      <c r="F320" s="2" t="s">
        <v>442</v>
      </c>
    </row>
    <row r="321" ht="16.4" customHeight="1" spans="1:9">
      <c r="A321" s="1" t="s">
        <v>443</v>
      </c>
      <c r="B321" s="175" t="s">
        <v>444</v>
      </c>
      <c r="C321" s="176">
        <v>5140010</v>
      </c>
      <c r="D321" s="43" t="s">
        <v>445</v>
      </c>
      <c r="E321" s="95">
        <v>920</v>
      </c>
      <c r="F321" s="2" t="s">
        <v>438</v>
      </c>
    </row>
    <row r="322" ht="16.4" customHeight="1" spans="1:9">
      <c r="A322" s="1" t="s">
        <v>443</v>
      </c>
      <c r="B322" s="175" t="s">
        <v>446</v>
      </c>
      <c r="C322" s="176">
        <v>5140015</v>
      </c>
      <c r="D322" s="43" t="s">
        <v>447</v>
      </c>
      <c r="E322" s="95">
        <v>920</v>
      </c>
      <c r="F322" s="2" t="s">
        <v>442</v>
      </c>
    </row>
    <row r="323" ht="16.4" customHeight="1" spans="1:9">
      <c r="A323" s="1" t="s">
        <v>448</v>
      </c>
      <c r="B323" s="175"/>
      <c r="C323" s="176"/>
      <c r="D323" s="132" t="s">
        <v>449</v>
      </c>
      <c r="E323" s="181" t="e" cm="1">
        <f t="array" ref="E323">Fixed_Param(97,1)</f>
        <v>#NAME?</v>
      </c>
    </row>
    <row r="324" ht="16.4" customHeight="1" spans="1:9">
      <c r="A324" s="1" t="s">
        <v>448</v>
      </c>
      <c r="B324" s="175"/>
      <c r="C324" s="176"/>
      <c r="D324" s="132" t="s">
        <v>450</v>
      </c>
      <c r="E324" s="181" t="e" cm="1">
        <f t="array" ref="E324">Fixed_Param(98,1)</f>
        <v>#NAME?</v>
      </c>
    </row>
    <row r="325" ht="16.4" customHeight="1" spans="1:9">
      <c r="A325" s="1" t="s">
        <v>451</v>
      </c>
      <c r="B325" s="175"/>
      <c r="C325" s="176"/>
      <c r="D325" s="132" t="s">
        <v>452</v>
      </c>
      <c r="E325" s="270" t="e" cm="1">
        <f t="array" ref="E325">Fixed_Param(99,1)</f>
        <v>#NAME?</v>
      </c>
    </row>
    <row r="326" ht="16.4" customHeight="1" spans="1:9">
      <c r="A326" s="1" t="s">
        <v>451</v>
      </c>
      <c r="B326" s="175"/>
      <c r="C326" s="176"/>
      <c r="D326" s="132" t="s">
        <v>453</v>
      </c>
      <c r="E326" s="270" t="e" cm="1">
        <f t="array" ref="E326">Fixed_Param(100,1)</f>
        <v>#NAME?</v>
      </c>
    </row>
    <row r="327" ht="16.4" customHeight="1" spans="1:9">
      <c r="A327" s="1" t="s">
        <v>454</v>
      </c>
      <c r="B327" s="175"/>
      <c r="C327" s="176"/>
      <c r="D327" s="132" t="s">
        <v>455</v>
      </c>
      <c r="E327" s="270" t="e" cm="1">
        <f t="array" ref="E327">Fixed_Param(541,1)</f>
        <v>#NAME?</v>
      </c>
      <c r="G327" s="108"/>
      <c r="H327" s="189"/>
      <c r="I327" s="189"/>
    </row>
    <row r="328" ht="16.4" customHeight="1" spans="1:9">
      <c r="A328" s="1" t="s">
        <v>454</v>
      </c>
      <c r="B328" s="175"/>
      <c r="C328" s="176"/>
      <c r="D328" s="132" t="s">
        <v>456</v>
      </c>
      <c r="E328" s="270" t="e" cm="1">
        <f t="array" ref="E328">Fixed_Param(540,1)</f>
        <v>#NAME?</v>
      </c>
      <c r="G328" s="108"/>
      <c r="H328" s="189"/>
      <c r="I328" s="189"/>
    </row>
    <row r="329" ht="16.4" customHeight="1" spans="1:9">
      <c r="A329" s="1" t="s">
        <v>171</v>
      </c>
      <c r="B329" s="175"/>
      <c r="C329" s="176"/>
      <c r="D329" s="132" t="s">
        <v>457</v>
      </c>
      <c r="E329" s="270" t="e" cm="1">
        <f t="array" ref="E329">Fixed_Param(350,1)</f>
        <v>#NAME?</v>
      </c>
      <c r="G329" s="108"/>
      <c r="H329" s="189"/>
      <c r="I329" s="189"/>
    </row>
    <row r="330" ht="16.4" customHeight="1" spans="1:9">
      <c r="A330" s="1" t="s">
        <v>171</v>
      </c>
      <c r="B330" s="175"/>
      <c r="C330" s="176"/>
      <c r="D330" s="132" t="s">
        <v>458</v>
      </c>
      <c r="E330" s="270" t="e" cm="1">
        <f t="array" ref="E330">Fixed_Param(351,1)</f>
        <v>#NAME?</v>
      </c>
      <c r="G330" s="108"/>
      <c r="H330" s="189"/>
      <c r="I330" s="189"/>
    </row>
    <row r="331" ht="16.4" customHeight="1" spans="1:9">
      <c r="A331" s="1" t="s">
        <v>171</v>
      </c>
      <c r="B331" s="175"/>
      <c r="C331" s="176"/>
      <c r="D331" s="132" t="s">
        <v>459</v>
      </c>
      <c r="E331" s="270" t="e" cm="1">
        <f t="array" ref="E331">Fixed_Param(352,1)</f>
        <v>#NAME?</v>
      </c>
      <c r="G331" s="108"/>
      <c r="H331" s="189"/>
      <c r="I331" s="189"/>
    </row>
    <row r="332" ht="16.4" customHeight="1" spans="1:9">
      <c r="A332" s="1" t="s">
        <v>171</v>
      </c>
      <c r="B332" s="182"/>
      <c r="C332" s="183"/>
      <c r="D332" s="136" t="s">
        <v>460</v>
      </c>
      <c r="E332" s="340" t="e" cm="1">
        <f t="array" ref="E332">Fixed_Param(353,1)</f>
        <v>#NAME?</v>
      </c>
      <c r="G332" s="108"/>
      <c r="H332" s="189"/>
      <c r="I332" s="189"/>
    </row>
    <row r="333" ht="16.4" customHeight="1" spans="1:9">
      <c r="A333" s="1" t="s">
        <v>35</v>
      </c>
      <c r="B333" s="341"/>
      <c r="C333" s="342"/>
      <c r="D333" s="341"/>
      <c r="E333" s="341"/>
    </row>
    <row r="334" ht="16.4" customHeight="1" spans="1:9">
      <c r="B334" s="343"/>
      <c r="C334" s="344"/>
      <c r="D334" s="343"/>
      <c r="E334" s="197"/>
    </row>
    <row r="335" ht="16.4" customHeight="1" spans="1:9">
      <c r="A335" s="1" t="s">
        <v>361</v>
      </c>
      <c r="B335" s="345" t="s">
        <v>461</v>
      </c>
      <c r="C335" s="168"/>
      <c r="D335" s="168"/>
      <c r="E335" s="72"/>
    </row>
    <row r="336" ht="16.4" customHeight="1" spans="1:9">
      <c r="B336" s="346"/>
      <c r="C336" s="176"/>
      <c r="D336" s="132" t="s">
        <v>462</v>
      </c>
      <c r="E336" s="78" t="s">
        <v>463</v>
      </c>
    </row>
    <row r="337" ht="16.4" customHeight="1" spans="1:6">
      <c r="A337" s="1" t="s">
        <v>464</v>
      </c>
      <c r="B337" s="346"/>
      <c r="C337" s="176"/>
      <c r="D337" s="132" t="s">
        <v>465</v>
      </c>
      <c r="E337" s="78" t="e" cm="1">
        <f t="array" ref="E337">Fixed_Param(504,1)</f>
        <v>#NAME?</v>
      </c>
    </row>
    <row r="338" ht="16.4" customHeight="1" spans="1:6">
      <c r="A338" s="1" t="s">
        <v>464</v>
      </c>
      <c r="B338" s="346"/>
      <c r="C338" s="176"/>
      <c r="D338" s="132" t="s">
        <v>466</v>
      </c>
      <c r="E338" s="78" t="e" cm="1">
        <f t="array" ref="E338">Fixed_Param(505,1)</f>
        <v>#NAME?</v>
      </c>
      <c r="F338" s="16"/>
    </row>
    <row r="339" ht="16.4" customHeight="1" spans="1:6">
      <c r="A339" s="1" t="s">
        <v>464</v>
      </c>
      <c r="B339" s="346"/>
      <c r="C339" s="176"/>
      <c r="D339" s="132" t="s">
        <v>467</v>
      </c>
      <c r="E339" s="78" t="e" cm="1">
        <f t="array" ref="E339">Fixed_Param(506,1)</f>
        <v>#NAME?</v>
      </c>
    </row>
    <row r="340" ht="16.4" customHeight="1" spans="1:6">
      <c r="A340" s="1" t="s">
        <v>464</v>
      </c>
      <c r="B340" s="346"/>
      <c r="C340" s="176"/>
      <c r="D340" s="132" t="s">
        <v>468</v>
      </c>
      <c r="E340" s="78" t="e" cm="1">
        <f t="array" ref="E340">Fixed_Param(507,1)</f>
        <v>#NAME?</v>
      </c>
    </row>
    <row r="341" ht="16.4" customHeight="1" spans="1:6">
      <c r="A341" s="1" t="s">
        <v>464</v>
      </c>
      <c r="B341" s="346"/>
      <c r="C341" s="176"/>
      <c r="D341" s="132" t="s">
        <v>469</v>
      </c>
      <c r="E341" s="78" t="e" cm="1">
        <f t="array" ref="E341">Fixed_Param(508,1)</f>
        <v>#NAME?</v>
      </c>
    </row>
    <row r="342" ht="16.4" customHeight="1" spans="1:6">
      <c r="A342" s="1" t="s">
        <v>470</v>
      </c>
      <c r="B342" s="346"/>
      <c r="C342" s="176"/>
      <c r="D342" s="132" t="s">
        <v>471</v>
      </c>
      <c r="E342" s="78" t="e" cm="1">
        <f t="array" ref="E342">Fixed_Param(509,1)</f>
        <v>#NAME?</v>
      </c>
    </row>
    <row r="343" ht="16.4" customHeight="1" spans="1:6">
      <c r="A343" s="1" t="s">
        <v>470</v>
      </c>
      <c r="B343" s="346"/>
      <c r="C343" s="176"/>
      <c r="D343" s="132" t="s">
        <v>472</v>
      </c>
      <c r="E343" s="78" t="e" cm="1">
        <f t="array" ref="E343">Fixed_Param(510,1)</f>
        <v>#NAME?</v>
      </c>
    </row>
    <row r="344" ht="16.4" customHeight="1" spans="1:6">
      <c r="A344" s="1" t="s">
        <v>470</v>
      </c>
      <c r="B344" s="346"/>
      <c r="C344" s="176"/>
      <c r="D344" s="132" t="s">
        <v>473</v>
      </c>
      <c r="E344" s="78" t="e" cm="1">
        <f t="array" ref="E344">Fixed_Param(511,1)</f>
        <v>#NAME?</v>
      </c>
      <c r="F344" s="16"/>
    </row>
    <row r="345" ht="16.4" customHeight="1" spans="1:6">
      <c r="A345" s="1" t="s">
        <v>470</v>
      </c>
      <c r="B345" s="346"/>
      <c r="C345" s="176"/>
      <c r="D345" s="132" t="s">
        <v>474</v>
      </c>
      <c r="E345" s="78" t="e" cm="1">
        <f t="array" ref="E345">Fixed_Param(512,1)</f>
        <v>#NAME?</v>
      </c>
    </row>
    <row r="346" ht="16.4" customHeight="1" spans="1:6">
      <c r="A346" s="1" t="s">
        <v>470</v>
      </c>
      <c r="B346" s="346"/>
      <c r="C346" s="176"/>
      <c r="D346" s="132" t="s">
        <v>475</v>
      </c>
      <c r="E346" s="78" t="s">
        <v>463</v>
      </c>
    </row>
    <row r="347" ht="16.4" customHeight="1" spans="1:6">
      <c r="A347" s="1" t="s">
        <v>476</v>
      </c>
      <c r="B347" s="346"/>
      <c r="C347" s="176"/>
      <c r="D347" s="132" t="s">
        <v>477</v>
      </c>
      <c r="E347" s="78" t="s">
        <v>463</v>
      </c>
    </row>
    <row r="348" ht="16.4" customHeight="1" spans="1:6">
      <c r="A348" s="1" t="s">
        <v>478</v>
      </c>
      <c r="B348" s="346"/>
      <c r="C348" s="176"/>
      <c r="D348" s="132" t="s">
        <v>479</v>
      </c>
      <c r="E348" s="84" t="e" cm="1">
        <f t="array" ref="E348">IF(IsMVB_MM_Configured(),"MSG_CREATED","NO_MSG_CREATED")</f>
        <v>#NAME?</v>
      </c>
      <c r="F348" s="16"/>
    </row>
    <row r="349" ht="16.4" customHeight="1" spans="1:6">
      <c r="A349" s="1" t="s">
        <v>480</v>
      </c>
      <c r="B349" s="347"/>
      <c r="C349" s="193"/>
      <c r="D349" s="276" t="s">
        <v>481</v>
      </c>
      <c r="E349" s="78" t="e" cm="1">
        <f t="array" ref="E349">Fixed_Param(516,1)</f>
        <v>#NAME?</v>
      </c>
      <c r="F349" s="16"/>
    </row>
    <row r="350" ht="16.4" customHeight="1" spans="1:6">
      <c r="A350" s="1" t="s">
        <v>480</v>
      </c>
      <c r="B350" s="347"/>
      <c r="C350" s="193"/>
      <c r="D350" s="276" t="s">
        <v>482</v>
      </c>
      <c r="E350" s="78" t="s">
        <v>83</v>
      </c>
      <c r="F350" s="16"/>
    </row>
    <row r="351" ht="16.4" customHeight="1" spans="1:6">
      <c r="B351" s="348" t="s">
        <v>24</v>
      </c>
      <c r="C351" s="183"/>
      <c r="D351" s="136" t="s">
        <v>483</v>
      </c>
      <c r="E351" s="349" t="e" cm="1">
        <f t="array" ref="E351">IF(ID(91)="Used",IF(ID(457)="SIL0_FROM_TRAIN_INTERFACE","PRESENT","NONE"),"NONE")</f>
        <v>#NAME?</v>
      </c>
    </row>
    <row r="352" ht="16.4" customHeight="1" spans="1:6">
      <c r="A352" s="1" t="s">
        <v>361</v>
      </c>
      <c r="B352" s="345" t="s">
        <v>484</v>
      </c>
      <c r="C352" s="167"/>
      <c r="D352" s="168"/>
      <c r="E352" s="350"/>
    </row>
    <row r="353" ht="16.4" customHeight="1" spans="1:9">
      <c r="A353" s="1" t="s">
        <v>361</v>
      </c>
      <c r="B353" s="346"/>
      <c r="C353" s="176"/>
      <c r="D353" s="43" t="s">
        <v>485</v>
      </c>
      <c r="E353" s="84" t="str">
        <f>IF(NmaxINAT&gt;0,"TRUE","FALSE")</f>
        <v>FALSE</v>
      </c>
    </row>
    <row r="354" ht="16.4" customHeight="1" spans="1:9">
      <c r="A354" s="1" t="s">
        <v>361</v>
      </c>
      <c r="B354" s="347"/>
      <c r="C354" s="193"/>
      <c r="D354" s="46" t="s">
        <v>486</v>
      </c>
      <c r="E354" s="121">
        <f>NmaxINAT</f>
        <v>0</v>
      </c>
    </row>
    <row r="355" ht="16.4" customHeight="1" spans="1:9">
      <c r="A355" s="1" t="s">
        <v>399</v>
      </c>
      <c r="B355" s="351"/>
      <c r="C355" s="183"/>
      <c r="D355" s="50" t="s">
        <v>487</v>
      </c>
      <c r="E355" s="352" t="e" cm="1">
        <f t="array" ref="E355">IF(ID(107)="N","FALSE",IF(ID(107)="Y","TRUE","ERROR"))</f>
        <v>#NAME?</v>
      </c>
    </row>
    <row r="356" ht="16.4" customHeight="1" spans="1:9">
      <c r="B356" s="189"/>
      <c r="C356" s="108"/>
      <c r="D356" s="189"/>
      <c r="E356" s="207"/>
    </row>
    <row r="357" ht="16.4" customHeight="1" spans="1:9">
      <c r="A357" s="1" t="s">
        <v>361</v>
      </c>
      <c r="B357" s="190" t="s">
        <v>488</v>
      </c>
      <c r="C357" s="163"/>
      <c r="D357" s="164"/>
      <c r="E357" s="353"/>
    </row>
    <row r="358" ht="16.4" customHeight="1" spans="1:9">
      <c r="A358" s="1" t="s">
        <v>489</v>
      </c>
      <c r="B358" s="351"/>
      <c r="C358" s="183"/>
      <c r="D358" s="50" t="s">
        <v>490</v>
      </c>
      <c r="E358" s="340" t="e" cm="1">
        <f t="array" ref="E358">Fixed_Param(119,1)</f>
        <v>#NAME?</v>
      </c>
    </row>
    <row r="359" ht="16.4" customHeight="1" spans="1:9">
      <c r="B359" s="196"/>
      <c r="C359" s="108"/>
      <c r="D359" s="335"/>
      <c r="E359" s="336"/>
    </row>
    <row r="360" ht="16.4" customHeight="1" spans="1:9">
      <c r="A360" s="1" t="s">
        <v>22</v>
      </c>
      <c r="B360" s="190" t="s">
        <v>491</v>
      </c>
      <c r="C360" s="163"/>
      <c r="D360" s="164"/>
      <c r="E360" s="353"/>
    </row>
    <row r="361" ht="16.4" customHeight="1" spans="1:9">
      <c r="A361" s="1" t="s">
        <v>22</v>
      </c>
      <c r="B361" s="351"/>
      <c r="C361" s="183"/>
      <c r="D361" s="50" t="s">
        <v>492</v>
      </c>
      <c r="E361" s="352" t="e" cm="1">
        <f t="array" ref="E361">VD(51)</f>
        <v>#NAME?</v>
      </c>
    </row>
    <row r="362" ht="16.4" customHeight="1" spans="1:9">
      <c r="A362" s="1" t="s">
        <v>493</v>
      </c>
    </row>
    <row r="363" ht="16.4" customHeight="1" spans="1:9">
      <c r="A363" s="1" t="s">
        <v>494</v>
      </c>
      <c r="B363" s="19" t="s">
        <v>495</v>
      </c>
      <c r="E363" s="336"/>
    </row>
    <row r="364" ht="16.4" customHeight="1" spans="1:9">
      <c r="A364" s="1" t="s">
        <v>494</v>
      </c>
      <c r="B364" s="196"/>
      <c r="C364" s="108"/>
      <c r="D364" s="335"/>
      <c r="E364" s="336"/>
      <c r="F364" s="354"/>
      <c r="G364" s="354"/>
    </row>
    <row r="365" ht="16.4" customHeight="1" spans="1:9">
      <c r="A365" s="1" t="s">
        <v>494</v>
      </c>
      <c r="B365" s="190" t="s">
        <v>496</v>
      </c>
      <c r="C365" s="163"/>
      <c r="D365" s="164"/>
      <c r="E365" s="355"/>
      <c r="F365" s="356">
        <v>1</v>
      </c>
      <c r="G365" s="357">
        <v>2</v>
      </c>
    </row>
    <row r="366" ht="16.4" customHeight="1" spans="1:9">
      <c r="A366" s="1" t="s">
        <v>497</v>
      </c>
      <c r="B366" s="346"/>
      <c r="C366" s="176"/>
      <c r="D366" s="132" t="s">
        <v>90</v>
      </c>
      <c r="E366" s="358"/>
      <c r="F366" s="359" t="s">
        <v>498</v>
      </c>
      <c r="G366" s="360" t="s">
        <v>499</v>
      </c>
    </row>
    <row r="367" ht="16.4" customHeight="1" spans="1:9">
      <c r="A367" s="1" t="s">
        <v>494</v>
      </c>
      <c r="B367" s="175"/>
      <c r="C367" s="176"/>
      <c r="D367" s="361" t="s">
        <v>500</v>
      </c>
      <c r="E367" s="362"/>
      <c r="F367" s="238" t="e" cm="1">
        <f t="array" ref="F367">IF(VD(8)="Y","CONFIGURED","NOT_CONFIGURED")</f>
        <v>#NAME?</v>
      </c>
      <c r="G367" s="239" t="e" cm="1">
        <f t="array" ref="G367">IF(VD(9)="Y","CONFIGURED","NOT_CONFIGURED")</f>
        <v>#NAME?</v>
      </c>
      <c r="H367" s="3"/>
      <c r="I367" s="3"/>
    </row>
    <row r="368" ht="16.4" customHeight="1" spans="1:9">
      <c r="A368" s="1" t="s">
        <v>432</v>
      </c>
      <c r="B368" s="175"/>
      <c r="C368" s="176"/>
      <c r="D368" s="361" t="s">
        <v>501</v>
      </c>
      <c r="E368" s="362"/>
      <c r="F368" s="235" t="e" cm="1">
        <f t="array" ref="F368">IF(VD(8)="Y",VD(6),Fixed_Param(207,1))</f>
        <v>#NAME?</v>
      </c>
      <c r="G368" s="84" t="e" cm="1">
        <f t="array" ref="G368">IF(VD(9)="Y",VD(7),Fixed_Param(207,1))</f>
        <v>#NAME?</v>
      </c>
      <c r="H368" s="3"/>
      <c r="I368" s="3"/>
    </row>
    <row r="369" ht="16.4" customHeight="1" spans="1:9">
      <c r="A369" s="1" t="s">
        <v>327</v>
      </c>
      <c r="B369" s="175"/>
      <c r="C369" s="176"/>
      <c r="D369" s="361" t="s">
        <v>502</v>
      </c>
      <c r="E369" s="362"/>
      <c r="F369" s="238" t="e" cm="1">
        <f t="array" ref="F369">IF(VD(8)="Y",Default_WS_Param(1,1),Default_WS_Param(1,3))</f>
        <v>#NAME?</v>
      </c>
      <c r="G369" s="239" t="e" cm="1">
        <f t="array" ref="G369">IF(VD(9)="Y",Default_WS_Param(1,2),Default_WS_Param(1,3))</f>
        <v>#NAME?</v>
      </c>
      <c r="H369" s="3"/>
      <c r="I369" s="3"/>
    </row>
    <row r="370" ht="16.4" customHeight="1" spans="1:9">
      <c r="A370" s="1" t="s">
        <v>327</v>
      </c>
      <c r="B370" s="175"/>
      <c r="C370" s="176"/>
      <c r="D370" s="361" t="s">
        <v>503</v>
      </c>
      <c r="E370" s="362"/>
      <c r="F370" s="238" t="e" cm="1">
        <f t="array" ref="F370">IF(VD(8)="Y",Default_WS_Param(2,1),Default_WS_Param(2,3))</f>
        <v>#NAME?</v>
      </c>
      <c r="G370" s="239" t="e" cm="1">
        <f t="array" ref="G370">IF(VD(9)="Y",Default_WS_Param(2,2),Default_WS_Param(2,3))</f>
        <v>#NAME?</v>
      </c>
      <c r="H370" s="3"/>
      <c r="I370" s="3"/>
    </row>
    <row r="371" ht="16.4" customHeight="1" spans="1:9">
      <c r="A371" s="1" t="s">
        <v>327</v>
      </c>
      <c r="B371" s="175"/>
      <c r="C371" s="176"/>
      <c r="D371" s="361" t="s">
        <v>504</v>
      </c>
      <c r="E371" s="362"/>
      <c r="F371" s="238" t="e" cm="1">
        <f t="array" ref="F371">IF(VD(8)="Y",Default_WS_Param(3,1),Default_WS_Param(3,3))</f>
        <v>#NAME?</v>
      </c>
      <c r="G371" s="239" t="e" cm="1">
        <f t="array" ref="G371">IF(VD(9)="Y",Default_WS_Param(3,2),Default_WS_Param(3,3))</f>
        <v>#NAME?</v>
      </c>
    </row>
    <row r="372" ht="16.4" customHeight="1" spans="1:9">
      <c r="A372" s="1" t="s">
        <v>327</v>
      </c>
      <c r="B372" s="175"/>
      <c r="C372" s="176"/>
      <c r="D372" s="361" t="s">
        <v>505</v>
      </c>
      <c r="E372" s="362"/>
      <c r="F372" s="238" t="e" cm="1">
        <f t="array" ref="F372">IF(VD(8)="Y",Default_WS_Param(4,1),Default_WS_Param(4,3))</f>
        <v>#NAME?</v>
      </c>
      <c r="G372" s="239" t="e" cm="1">
        <f t="array" ref="G372">IF(VD(9)="Y",Default_WS_Param(4,2),Default_WS_Param(4,3))</f>
        <v>#NAME?</v>
      </c>
    </row>
    <row r="373" ht="16.4" customHeight="1" spans="1:9">
      <c r="A373" s="1" t="s">
        <v>327</v>
      </c>
      <c r="B373" s="175"/>
      <c r="C373" s="176"/>
      <c r="D373" s="361" t="s">
        <v>506</v>
      </c>
      <c r="E373" s="362"/>
      <c r="F373" s="238" t="e" cm="1">
        <f t="array" ref="F373">IF(VD(8)="Y",Default_WS_Param(5,1),Default_WS_Param(5,3))</f>
        <v>#NAME?</v>
      </c>
      <c r="G373" s="239" t="e" cm="1">
        <f t="array" ref="G373">IF(VD(9)="Y",Default_WS_Param(5,2),Default_WS_Param(5,3))</f>
        <v>#NAME?</v>
      </c>
    </row>
    <row r="374" ht="16.4" customHeight="1" spans="1:9">
      <c r="A374" s="1" t="s">
        <v>327</v>
      </c>
      <c r="B374" s="175"/>
      <c r="C374" s="176"/>
      <c r="D374" s="361" t="s">
        <v>507</v>
      </c>
      <c r="E374" s="362"/>
      <c r="F374" s="238" t="e" cm="1">
        <f t="array" ref="F374">IF(VD(8)="Y",Default_WS_Param(6,1),Default_WS_Param(6,3))</f>
        <v>#NAME?</v>
      </c>
      <c r="G374" s="239" t="e" cm="1">
        <f t="array" ref="G374">IF(VD(9)="Y",Default_WS_Param(6,2),Default_WS_Param(6,3))</f>
        <v>#NAME?</v>
      </c>
    </row>
    <row r="375" ht="16.4" customHeight="1" spans="1:9">
      <c r="A375" s="1" t="s">
        <v>327</v>
      </c>
      <c r="B375" s="175"/>
      <c r="C375" s="176"/>
      <c r="D375" s="361" t="s">
        <v>508</v>
      </c>
      <c r="E375" s="362"/>
      <c r="F375" s="238" t="e" cm="1">
        <f t="array" ref="F375">IF(VD(8)="Y",Default_WS_Param(7,1),Default_WS_Param(7,3))</f>
        <v>#NAME?</v>
      </c>
      <c r="G375" s="239" t="e" cm="1">
        <f t="array" ref="G375">IF(VD(9)="Y",Default_WS_Param(7,2),Default_WS_Param(7,3))</f>
        <v>#NAME?</v>
      </c>
    </row>
    <row r="376" ht="16.4" customHeight="1" spans="1:9">
      <c r="A376" s="1" t="s">
        <v>327</v>
      </c>
      <c r="B376" s="175"/>
      <c r="C376" s="176"/>
      <c r="D376" s="361" t="s">
        <v>509</v>
      </c>
      <c r="E376" s="362"/>
      <c r="F376" s="238" t="e" cm="1">
        <f t="array" ref="F376">IF(VD(8)="Y",Default_WS_Param(8,1),Default_WS_Param(8,3))</f>
        <v>#NAME?</v>
      </c>
      <c r="G376" s="239" t="e" cm="1">
        <f t="array" ref="G376">IF(VD(9)="Y",Default_WS_Param(8,2),Default_WS_Param(8,3))</f>
        <v>#NAME?</v>
      </c>
    </row>
    <row r="377" ht="16.4" customHeight="1" spans="1:9">
      <c r="A377" s="1" t="s">
        <v>327</v>
      </c>
      <c r="B377" s="175"/>
      <c r="C377" s="176"/>
      <c r="D377" s="361" t="s">
        <v>510</v>
      </c>
      <c r="E377" s="362"/>
      <c r="F377" s="238" t="e" cm="1">
        <f t="array" ref="F377">IF(VD(8)="Y",Default_WS_Param(9,1),Default_WS_Param(9,3))</f>
        <v>#NAME?</v>
      </c>
      <c r="G377" s="239" t="e" cm="1">
        <f t="array" ref="G377">IF(VD(9)="Y",Default_WS_Param(9,2),Default_WS_Param(9,3))</f>
        <v>#NAME?</v>
      </c>
    </row>
    <row r="378" ht="16.4" customHeight="1" spans="1:9">
      <c r="A378" s="1" t="s">
        <v>327</v>
      </c>
      <c r="B378" s="182"/>
      <c r="C378" s="183"/>
      <c r="D378" s="363" t="s">
        <v>511</v>
      </c>
      <c r="E378" s="364"/>
      <c r="F378" s="365" t="e" cm="1">
        <f t="array" ref="F378">IF(VD(8)="Y",Default_WS_Param(15,1),Default_WS_Param(15,3))</f>
        <v>#NAME?</v>
      </c>
      <c r="G378" s="366" t="e" cm="1">
        <f t="array" ref="G378">IF(VD(9)="Y",Default_WS_Param(15,2),Default_WS_Param(15,3))</f>
        <v>#NAME?</v>
      </c>
    </row>
    <row r="379" ht="16.4" customHeight="1" spans="1:9">
      <c r="B379" s="196"/>
      <c r="C379" s="108"/>
      <c r="D379" s="335"/>
      <c r="E379" s="336"/>
    </row>
    <row r="380" ht="16.4" customHeight="1" spans="1:9">
      <c r="A380" s="1" t="s">
        <v>494</v>
      </c>
      <c r="B380" s="190" t="s">
        <v>512</v>
      </c>
      <c r="C380" s="163"/>
      <c r="D380" s="164"/>
      <c r="E380" s="355"/>
      <c r="F380" s="367">
        <v>1</v>
      </c>
      <c r="G380" s="368">
        <v>2</v>
      </c>
    </row>
    <row r="381" ht="16.4" customHeight="1" spans="1:9">
      <c r="A381" s="1" t="s">
        <v>494</v>
      </c>
      <c r="B381" s="346"/>
      <c r="C381" s="176"/>
      <c r="D381" s="132" t="s">
        <v>90</v>
      </c>
      <c r="E381" s="358"/>
      <c r="F381" s="369" t="s">
        <v>513</v>
      </c>
      <c r="G381" s="370" t="s">
        <v>514</v>
      </c>
    </row>
    <row r="382" ht="16.4" customHeight="1" spans="1:9">
      <c r="A382" s="371" t="s">
        <v>494</v>
      </c>
      <c r="B382" s="175"/>
      <c r="C382" s="176"/>
      <c r="D382" s="361" t="s">
        <v>515</v>
      </c>
      <c r="E382" s="362"/>
      <c r="F382" s="238" t="e" cm="1">
        <f t="array" ref="F382">IF(VD(12)&lt;&gt;"NO_RADAR",Default_RADAR_Param(1,1),"NOT_CONFIGURED")</f>
        <v>#NAME?</v>
      </c>
      <c r="G382" s="239" t="e" cm="1">
        <f t="array" ref="G382">IF(VD(13)&lt;&gt;"NO_RADAR",Default_RADAR_Param(1,2),"NOT_CONFIGURED")</f>
        <v>#NAME?</v>
      </c>
    </row>
    <row r="383" ht="16.4" customHeight="1" spans="1:9">
      <c r="A383" s="371"/>
      <c r="B383" s="175"/>
      <c r="C383" s="176"/>
      <c r="D383" s="361" t="s">
        <v>516</v>
      </c>
      <c r="E383" s="362"/>
      <c r="F383" s="238" t="e" cm="1">
        <f t="array" ref="F383">IF(VD(12)&lt;&gt;"NO_RADAR",Default_RADAR_Param(2,1),Fixed_Param(208,1))</f>
        <v>#NAME?</v>
      </c>
      <c r="G383" s="239" t="e" cm="1">
        <f t="array" ref="G383">IF(VD(13)&lt;&gt;"NO_RADAR",Default_RADAR_Param(2,2),Fixed_Param(208,1))</f>
        <v>#NAME?</v>
      </c>
    </row>
    <row r="384" ht="16.4" customHeight="1" spans="1:9">
      <c r="A384" s="371" t="s">
        <v>494</v>
      </c>
      <c r="B384" s="175"/>
      <c r="C384" s="176"/>
      <c r="D384" s="361" t="s">
        <v>517</v>
      </c>
      <c r="E384" s="362"/>
      <c r="F384" s="238" t="e" cm="1">
        <f t="array" ref="F384">IF(VD(12)&lt;&gt;"NO_RADAR",IF(VD(5100070)="POSITIVE","FORWARD",IF(VD(5100070)="NEGATIVE","REVERSE","ERROR")),Fixed_Param(209,1))</f>
        <v>#NAME?</v>
      </c>
      <c r="G384" s="239" t="e" cm="1">
        <f t="array" ref="G384">IF(VD(13)&lt;&gt;"NO_RADAR",IF(VD(5100080)="POSITIVE","FORWARD",IF(VD(5100080)="NEGATIVE","REVERSE","ERROR")),Fixed_Param(209,1))</f>
        <v>#NAME?</v>
      </c>
    </row>
    <row r="385" ht="16.4" customHeight="1" spans="1:7">
      <c r="A385" s="1" t="s">
        <v>494</v>
      </c>
      <c r="B385" s="182"/>
      <c r="C385" s="183"/>
      <c r="D385" s="363" t="s">
        <v>518</v>
      </c>
      <c r="E385" s="364"/>
      <c r="F385" s="253" t="e" cm="1">
        <f t="array" ref="F385">IF(VD(12)&lt;&gt;"NO_RADAR",Default_RADAR_Param(3,1),Fixed_Param(210,1))</f>
        <v>#NAME?</v>
      </c>
      <c r="G385" s="254" t="e" cm="1">
        <f t="array" ref="G385">IF(VD(13)&lt;&gt;"NO_RADAR",Default_RADAR_Param(3,2),Fixed_Param(210,1))</f>
        <v>#NAME?</v>
      </c>
    </row>
    <row r="386" ht="16.4" customHeight="1" spans="1:7">
      <c r="A386" s="1" t="s">
        <v>519</v>
      </c>
      <c r="B386" s="196"/>
      <c r="C386" s="108"/>
      <c r="D386" s="335"/>
      <c r="E386" s="336"/>
    </row>
    <row r="387" ht="16.4" customHeight="1" spans="1:7">
      <c r="A387" s="1" t="s">
        <v>520</v>
      </c>
      <c r="B387" s="190" t="s">
        <v>521</v>
      </c>
      <c r="C387" s="163"/>
      <c r="D387" s="164"/>
      <c r="E387" s="353"/>
    </row>
    <row r="388" ht="16.4" customHeight="1" spans="1:7">
      <c r="A388" s="1" t="s">
        <v>84</v>
      </c>
      <c r="B388" s="345"/>
      <c r="C388" s="167"/>
      <c r="D388" s="372" t="s">
        <v>522</v>
      </c>
      <c r="E388" s="373" t="e" cm="1">
        <f t="array" ref="E388">VD(60)</f>
        <v>#NAME?</v>
      </c>
    </row>
    <row r="389" ht="16.4" customHeight="1" spans="1:7">
      <c r="A389" s="1" t="s">
        <v>494</v>
      </c>
      <c r="B389" s="346"/>
      <c r="C389" s="176"/>
      <c r="D389" s="43" t="s">
        <v>523</v>
      </c>
      <c r="E389" s="373" t="e" cm="1">
        <f t="array" ref="E389">VD(5100090)</f>
        <v>#NAME?</v>
      </c>
    </row>
    <row r="390" ht="16.4" customHeight="1" spans="1:7">
      <c r="A390" s="1" t="s">
        <v>448</v>
      </c>
      <c r="B390" s="346"/>
      <c r="C390" s="176"/>
      <c r="D390" s="43" t="s">
        <v>524</v>
      </c>
      <c r="E390" s="374" t="e" cm="1">
        <f t="array" ref="E390">Fixed_Param(120,1)</f>
        <v>#NAME?</v>
      </c>
    </row>
    <row r="391" ht="16.4" customHeight="1" spans="1:7">
      <c r="A391" s="1" t="s">
        <v>448</v>
      </c>
      <c r="B391" s="351"/>
      <c r="C391" s="183"/>
      <c r="D391" s="50" t="s">
        <v>525</v>
      </c>
      <c r="E391" s="375" t="e" cm="1">
        <f t="array" ref="E391">Fixed_Param(121,1)</f>
        <v>#NAME?</v>
      </c>
    </row>
    <row r="392" ht="16.4" customHeight="1" spans="1:7">
      <c r="A392" s="1" t="s">
        <v>494</v>
      </c>
      <c r="B392" s="196"/>
      <c r="C392" s="108"/>
      <c r="D392" s="335"/>
      <c r="E392" s="336"/>
    </row>
    <row r="393" ht="16.4" customHeight="1" spans="1:7">
      <c r="A393" s="1" t="s">
        <v>84</v>
      </c>
      <c r="B393" s="190" t="s">
        <v>526</v>
      </c>
      <c r="C393" s="163"/>
      <c r="D393" s="164"/>
      <c r="E393" s="353"/>
    </row>
    <row r="394" ht="16.4" customHeight="1" spans="1:7">
      <c r="A394" s="1" t="s">
        <v>84</v>
      </c>
      <c r="B394" s="376"/>
      <c r="C394" s="176"/>
      <c r="D394" s="43" t="s">
        <v>527</v>
      </c>
      <c r="E394" s="373" t="e" cm="1">
        <f t="array" ref="E394">VD(61)</f>
        <v>#NAME?</v>
      </c>
    </row>
    <row r="395" ht="16.4" customHeight="1" spans="1:7">
      <c r="A395" s="1" t="s">
        <v>84</v>
      </c>
      <c r="B395" s="346"/>
      <c r="C395" s="176"/>
      <c r="D395" s="43" t="s">
        <v>528</v>
      </c>
      <c r="E395" s="373" t="e" cm="1">
        <f t="array" ref="E395">VD(62)</f>
        <v>#NAME?</v>
      </c>
    </row>
    <row r="396" ht="16.4" customHeight="1" spans="1:7">
      <c r="A396" s="1" t="s">
        <v>529</v>
      </c>
      <c r="B396" s="346"/>
      <c r="C396" s="176"/>
      <c r="D396" s="43" t="s">
        <v>530</v>
      </c>
      <c r="E396" s="84" t="e" cm="1">
        <f t="array" ref="E396">IF(OR(VD(61)&lt;&gt;"NOT_CONFIGURED",VD(62)&lt;&gt;"NOT_CONFIGURED"),VD(63),IF(VD(51)&lt;&gt;"EVC3","Z_AXIS","X_AXIS"))</f>
        <v>#NAME?</v>
      </c>
    </row>
    <row r="397" ht="16.4" customHeight="1" spans="1:7">
      <c r="A397" s="1" t="s">
        <v>84</v>
      </c>
      <c r="B397" s="346"/>
      <c r="C397" s="176"/>
      <c r="D397" s="43" t="s">
        <v>531</v>
      </c>
      <c r="E397" s="84" t="e" cm="1">
        <f t="array" ref="E397">IF(OR(VD(61)&lt;&gt;"NOT_CONFIGURED",VD(62)&lt;&gt;"NOT_CONFIGURED"),VD(64),"POSITIVE")</f>
        <v>#NAME?</v>
      </c>
    </row>
    <row r="398" ht="16.4" customHeight="1" spans="1:7">
      <c r="A398" s="1" t="s">
        <v>532</v>
      </c>
      <c r="B398" s="346"/>
      <c r="C398" s="176"/>
      <c r="D398" s="132" t="s">
        <v>533</v>
      </c>
      <c r="E398" s="377" t="e" cm="1">
        <f t="array" ref="E398">IF(OR('Train type (2)'!acc3d_privileged_axis="X_AXIS",'Train type (2)'!acc3d_privileged_axis="Y_AXIS"),Fixed_Param(1301,1),Fixed_Param(1300,1))</f>
        <v>#NAME?</v>
      </c>
    </row>
    <row r="399" ht="16.4" customHeight="1" spans="1:7">
      <c r="A399" s="1" t="s">
        <v>532</v>
      </c>
      <c r="B399" s="346"/>
      <c r="C399" s="176"/>
      <c r="D399" s="132" t="s">
        <v>534</v>
      </c>
      <c r="E399" s="377" t="e" cm="1">
        <f t="array" ref="E399">IF(OR('Train type (2)'!acc3d_privileged_axis="X_AXIS",'Train type (2)'!acc3d_privileged_axis="Y_AXIS"),Fixed_Param(1302,1),Fixed_Param(129,1))</f>
        <v>#NAME?</v>
      </c>
    </row>
    <row r="400" ht="16.4" customHeight="1" spans="1:7">
      <c r="A400" s="1" t="s">
        <v>401</v>
      </c>
      <c r="B400" s="346"/>
      <c r="C400" s="176"/>
      <c r="D400" s="43" t="s">
        <v>535</v>
      </c>
      <c r="E400" s="247" t="e" cm="1">
        <f t="array" ref="E400">Default_GEOS_Param(306)</f>
        <v>#NAME?</v>
      </c>
    </row>
    <row r="401" ht="16.4" customHeight="1" spans="1:6">
      <c r="A401" s="1" t="s">
        <v>401</v>
      </c>
      <c r="B401" s="346"/>
      <c r="C401" s="176"/>
      <c r="D401" s="43" t="s">
        <v>536</v>
      </c>
      <c r="E401" s="248" t="e" cm="1">
        <f t="array" ref="E401">Default_GEOS_Param(307)</f>
        <v>#NAME?</v>
      </c>
    </row>
    <row r="402" ht="16.4" customHeight="1" spans="1:6">
      <c r="A402" s="1" t="s">
        <v>537</v>
      </c>
      <c r="B402" s="351"/>
      <c r="C402" s="183"/>
      <c r="D402" s="50" t="s">
        <v>538</v>
      </c>
      <c r="E402" s="378" t="e" cm="1">
        <f t="array" ref="E402">IF(VD(51)="EVC3",Fixed_Param(422,1),Fixed_Param(421,1))</f>
        <v>#NAME?</v>
      </c>
    </row>
    <row r="403" ht="16.4" customHeight="1" spans="1:6">
      <c r="B403" s="196"/>
      <c r="C403" s="108"/>
      <c r="D403" s="335"/>
      <c r="E403" s="379"/>
    </row>
    <row r="404" ht="16.4" customHeight="1" spans="1:6">
      <c r="A404" s="1" t="s">
        <v>494</v>
      </c>
      <c r="B404" s="190" t="s">
        <v>539</v>
      </c>
      <c r="C404" s="163"/>
      <c r="D404" s="164"/>
      <c r="E404" s="350"/>
    </row>
    <row r="405" ht="16.4" customHeight="1" spans="1:6">
      <c r="A405" s="1" t="s">
        <v>494</v>
      </c>
      <c r="B405" s="175" t="s">
        <v>540</v>
      </c>
      <c r="C405" s="33">
        <v>5580000</v>
      </c>
      <c r="D405" s="43" t="s">
        <v>541</v>
      </c>
      <c r="E405" s="95">
        <v>37.778</v>
      </c>
    </row>
    <row r="406" ht="16.4" customHeight="1" spans="1:6">
      <c r="A406" s="1" t="s">
        <v>494</v>
      </c>
      <c r="B406" s="175" t="s">
        <v>542</v>
      </c>
      <c r="C406" s="33">
        <v>5580010</v>
      </c>
      <c r="D406" s="380" t="s">
        <v>543</v>
      </c>
      <c r="E406" s="95">
        <v>2.4</v>
      </c>
    </row>
    <row r="407" ht="16.4" customHeight="1" spans="1:6">
      <c r="A407" s="1" t="s">
        <v>494</v>
      </c>
      <c r="B407" s="182" t="s">
        <v>544</v>
      </c>
      <c r="C407" s="49">
        <v>5580020</v>
      </c>
      <c r="D407" s="333" t="s">
        <v>545</v>
      </c>
      <c r="E407" s="381">
        <v>2</v>
      </c>
    </row>
    <row r="408" ht="16.4" customHeight="1" spans="1:6">
      <c r="A408" s="1" t="s">
        <v>494</v>
      </c>
      <c r="B408" s="382"/>
      <c r="C408" s="101"/>
      <c r="D408" s="64"/>
      <c r="E408" s="3"/>
    </row>
    <row r="409" ht="16.4" customHeight="1" spans="1:6">
      <c r="A409" s="1" t="s">
        <v>494</v>
      </c>
      <c r="B409" s="190" t="s">
        <v>546</v>
      </c>
      <c r="C409" s="163"/>
      <c r="D409" s="383"/>
      <c r="E409" s="353"/>
    </row>
    <row r="410" ht="16.4" customHeight="1" spans="1:6">
      <c r="A410" s="1" t="s">
        <v>520</v>
      </c>
      <c r="B410" s="346"/>
      <c r="C410" s="176"/>
      <c r="D410" s="43" t="s">
        <v>547</v>
      </c>
      <c r="E410" s="384" t="e" cm="1">
        <f t="array" ref="E410">Fixed_Param(122,1)</f>
        <v>#NAME?</v>
      </c>
    </row>
    <row r="411" ht="16.4" customHeight="1" spans="1:6">
      <c r="A411" s="1" t="s">
        <v>84</v>
      </c>
      <c r="B411" s="347"/>
      <c r="C411" s="193"/>
      <c r="D411" s="46" t="s">
        <v>548</v>
      </c>
      <c r="E411" s="384" t="e" cm="1">
        <f t="array" ref="E411">Fixed_Param(450,1)</f>
        <v>#NAME?</v>
      </c>
    </row>
    <row r="412" ht="16.4" customHeight="1" spans="1:6">
      <c r="A412" s="1" t="s">
        <v>494</v>
      </c>
      <c r="B412" s="385"/>
      <c r="C412" s="386"/>
      <c r="D412" s="50" t="s">
        <v>549</v>
      </c>
      <c r="E412" s="375" t="e" cm="1">
        <f t="array" ref="E412">Fixed_Param(123,1)</f>
        <v>#NAME?</v>
      </c>
    </row>
    <row r="413" ht="16.4" customHeight="1"/>
    <row r="414" ht="16.4" customHeight="1" spans="1:6">
      <c r="A414" s="1" t="s">
        <v>550</v>
      </c>
      <c r="B414" s="382"/>
      <c r="C414" s="101"/>
      <c r="D414" s="64"/>
      <c r="E414" s="387"/>
      <c r="F414" s="16"/>
    </row>
    <row r="415" ht="16.4" customHeight="1" spans="1:6">
      <c r="A415" s="1" t="s">
        <v>13</v>
      </c>
      <c r="B415" s="19" t="s">
        <v>551</v>
      </c>
    </row>
    <row r="416" ht="16.4" customHeight="1" spans="1:6">
      <c r="A416" s="1" t="s">
        <v>35</v>
      </c>
    </row>
    <row r="417" ht="16.4" customHeight="1" spans="1:7">
      <c r="A417" s="15"/>
      <c r="B417" s="16"/>
      <c r="C417" s="17"/>
      <c r="D417" s="16"/>
    </row>
    <row r="418" ht="16.4" customHeight="1" spans="1:7">
      <c r="A418" s="1" t="s">
        <v>361</v>
      </c>
      <c r="B418" s="190" t="s">
        <v>552</v>
      </c>
      <c r="C418" s="388"/>
      <c r="D418" s="55"/>
      <c r="E418" s="68"/>
    </row>
    <row r="419" ht="16.4" customHeight="1" spans="1:7">
      <c r="A419" s="1" t="s">
        <v>361</v>
      </c>
      <c r="B419" s="85" t="s">
        <v>553</v>
      </c>
      <c r="C419" s="234">
        <v>5070010</v>
      </c>
      <c r="D419" s="87" t="s">
        <v>554</v>
      </c>
      <c r="E419" s="95">
        <v>10</v>
      </c>
    </row>
    <row r="420" ht="16.4" customHeight="1" spans="1:7">
      <c r="A420" s="1" t="s">
        <v>361</v>
      </c>
      <c r="B420" s="85" t="s">
        <v>555</v>
      </c>
      <c r="C420" s="234">
        <v>5070020</v>
      </c>
      <c r="D420" s="87" t="s">
        <v>556</v>
      </c>
      <c r="E420" s="95">
        <v>253</v>
      </c>
    </row>
    <row r="421" ht="16.4" customHeight="1" spans="1:7">
      <c r="A421" s="1" t="s">
        <v>361</v>
      </c>
      <c r="B421" s="85" t="s">
        <v>557</v>
      </c>
      <c r="C421" s="234">
        <v>5070030</v>
      </c>
      <c r="D421" s="87" t="s">
        <v>558</v>
      </c>
      <c r="E421" s="389">
        <v>0</v>
      </c>
    </row>
    <row r="422" ht="16.4" customHeight="1" spans="1:7">
      <c r="A422" s="1" t="s">
        <v>361</v>
      </c>
      <c r="B422" s="85" t="s">
        <v>559</v>
      </c>
      <c r="C422" s="234">
        <v>5070040</v>
      </c>
      <c r="D422" s="87" t="s">
        <v>560</v>
      </c>
      <c r="E422" s="389">
        <v>0</v>
      </c>
    </row>
    <row r="423" ht="16.4" customHeight="1" spans="1:7">
      <c r="A423" s="1" t="s">
        <v>361</v>
      </c>
      <c r="B423" s="85"/>
      <c r="C423" s="234"/>
      <c r="D423" s="87" t="s">
        <v>561</v>
      </c>
      <c r="E423" s="318">
        <f>'Train type (2)'!EB_application_time+2</f>
        <v>12</v>
      </c>
      <c r="F423" s="16"/>
      <c r="G423" s="16"/>
    </row>
    <row r="424" ht="16.4" customHeight="1" spans="1:7">
      <c r="A424" s="1" t="s">
        <v>361</v>
      </c>
      <c r="B424" s="85"/>
      <c r="C424" s="234"/>
      <c r="D424" s="87" t="s">
        <v>562</v>
      </c>
      <c r="E424" s="318">
        <f>'Train type (2)'!EB_release_time+2</f>
        <v>255</v>
      </c>
      <c r="G424" s="16"/>
    </row>
    <row r="425" ht="16.4" customHeight="1" spans="1:7">
      <c r="A425" s="1" t="s">
        <v>361</v>
      </c>
      <c r="B425" s="85"/>
      <c r="C425" s="234"/>
      <c r="D425" s="87" t="s">
        <v>563</v>
      </c>
      <c r="E425" s="318" t="e" cm="1">
        <f t="array" ref="E425">IF(OR(ID(9)="Not Used",ID(601)="Not Used"),Fixed_Param(212,1),ROUNDUP('Train type (2)'!SB_application_time+2,0))</f>
        <v>#NAME?</v>
      </c>
      <c r="G425" s="16"/>
    </row>
    <row r="426" ht="16.4" customHeight="1" spans="1:7">
      <c r="A426" s="1" t="s">
        <v>361</v>
      </c>
      <c r="B426" s="85"/>
      <c r="C426" s="234"/>
      <c r="D426" s="87" t="s">
        <v>564</v>
      </c>
      <c r="E426" s="318" t="e" cm="1">
        <f t="array" ref="E426">IF(OR(ID(9)="Not Used",ID(601)="Not Used"),Fixed_Param(213,1),ROUNDUP('Train type (2)'!SB_release_time+2,0))</f>
        <v>#NAME?</v>
      </c>
    </row>
    <row r="427" ht="16.4" customHeight="1" spans="1:7">
      <c r="A427" s="1" t="s">
        <v>565</v>
      </c>
      <c r="B427" s="85" t="s">
        <v>566</v>
      </c>
      <c r="C427" s="234">
        <v>5070080</v>
      </c>
      <c r="D427" s="87" t="s">
        <v>567</v>
      </c>
      <c r="E427" s="389">
        <v>0</v>
      </c>
      <c r="F427" s="16"/>
    </row>
    <row r="428" ht="16.4" customHeight="1" spans="1:7">
      <c r="A428" s="1" t="s">
        <v>361</v>
      </c>
      <c r="B428" s="85" t="s">
        <v>568</v>
      </c>
      <c r="C428" s="234">
        <v>5070090</v>
      </c>
      <c r="D428" s="87" t="s">
        <v>569</v>
      </c>
      <c r="E428" s="95">
        <v>0</v>
      </c>
      <c r="F428" s="16"/>
    </row>
    <row r="429" ht="16.4" customHeight="1" spans="1:7">
      <c r="A429" s="1" t="s">
        <v>570</v>
      </c>
      <c r="B429" s="85"/>
      <c r="C429" s="234"/>
      <c r="D429" s="87" t="s">
        <v>571</v>
      </c>
      <c r="E429" s="318" t="e" cm="1">
        <f t="array" ref="E429">IF(AND(ID(73)="Used",OR(AND(ID(88)="Used",OR(ID(50)="SW",ID(50)="BOTH")),AND(ID(51)="Used",OR(ID(52)="SW",ID(52)="BOTH")),AND(ID(53)="Used",OR(ID(54)="SW",ID(54)="BOTH")))),'Train type (2)'!tract_cut_off_appl_time+2,0)</f>
        <v>#NAME?</v>
      </c>
      <c r="F429" s="16"/>
    </row>
    <row r="430" ht="16.4" customHeight="1" spans="1:7">
      <c r="A430" s="1" t="s">
        <v>570</v>
      </c>
      <c r="B430" s="85"/>
      <c r="C430" s="234"/>
      <c r="D430" s="87" t="s">
        <v>572</v>
      </c>
      <c r="E430" s="318" t="e" cm="1">
        <f t="array" ref="E430">IF(AND(ID(73)="Used",OR(AND(ID(88)="Used",OR(ID(50)="SW",ID(50)="BOTH")),AND(ID(51)="Used",OR(ID(52)="SW",ID(52)="BOTH")),AND(ID(53)="Used",OR(ID(54)="SW",ID(54)="BOTH")))),'Train type (2)'!tract_cut_off_rels_time+2,0)</f>
        <v>#NAME?</v>
      </c>
    </row>
    <row r="431" ht="16.4" customHeight="1" spans="1:7">
      <c r="A431" s="1" t="s">
        <v>399</v>
      </c>
      <c r="B431" s="85"/>
      <c r="C431" s="234"/>
      <c r="D431" s="87" t="s">
        <v>573</v>
      </c>
      <c r="E431" s="318" t="e" cm="1">
        <f t="array" ref="E431">IF(ID(67)="Used",ROUNDUP(MAX(ID(47),ID(49),ID(158),ID(159))+1,0),Fixed_Param(214,1))</f>
        <v>#NAME?</v>
      </c>
      <c r="F431" s="16"/>
    </row>
    <row r="432" ht="16.4" customHeight="1" spans="1:7">
      <c r="A432" s="1" t="s">
        <v>574</v>
      </c>
      <c r="B432" s="85" t="s">
        <v>575</v>
      </c>
      <c r="C432" s="234">
        <v>5070060</v>
      </c>
      <c r="D432" s="87" t="s">
        <v>576</v>
      </c>
      <c r="E432" s="390" t="e" cm="1">
        <f t="array" ref="E432">Fixed_Param(196,1)</f>
        <v>#NAME?</v>
      </c>
    </row>
    <row r="433" ht="16.4" customHeight="1" spans="1:6">
      <c r="A433" s="1" t="s">
        <v>361</v>
      </c>
      <c r="B433" s="85" t="s">
        <v>577</v>
      </c>
      <c r="C433" s="234">
        <v>5070130</v>
      </c>
      <c r="D433" s="87" t="s">
        <v>578</v>
      </c>
      <c r="E433" s="390" t="e" cm="1">
        <f t="array" ref="E433">Fixed_Param(66,1)</f>
        <v>#NAME?</v>
      </c>
    </row>
    <row r="434" ht="16.4" customHeight="1" spans="1:6">
      <c r="A434" s="1" t="s">
        <v>361</v>
      </c>
      <c r="B434" s="85" t="s">
        <v>579</v>
      </c>
      <c r="C434" s="234">
        <v>5070050</v>
      </c>
      <c r="D434" s="87" t="s">
        <v>580</v>
      </c>
      <c r="E434" s="389">
        <v>8</v>
      </c>
    </row>
    <row r="435" ht="16.4" customHeight="1" spans="1:6">
      <c r="A435" s="1" t="s">
        <v>570</v>
      </c>
      <c r="B435" s="85"/>
      <c r="C435" s="234"/>
      <c r="D435" s="87" t="s">
        <v>581</v>
      </c>
      <c r="E435" s="318" t="e" cm="1">
        <f t="array" ref="E435">IF(AND(ID(138)="Used",OR(ID(14)="Used",ID(15)="Used")),'Train type (2)'!pantograph_lowering_time+2,Fixed_Param(215,1))</f>
        <v>#NAME?</v>
      </c>
    </row>
    <row r="436" ht="16.4" customHeight="1" spans="1:6">
      <c r="A436" s="1" t="s">
        <v>361</v>
      </c>
      <c r="B436" s="85" t="s">
        <v>582</v>
      </c>
      <c r="C436" s="234">
        <v>5070055</v>
      </c>
      <c r="D436" s="87" t="s">
        <v>583</v>
      </c>
      <c r="E436" s="389">
        <v>8</v>
      </c>
    </row>
    <row r="437" ht="16.4" customHeight="1" spans="1:6">
      <c r="A437" s="1" t="s">
        <v>570</v>
      </c>
      <c r="B437" s="85"/>
      <c r="C437" s="234"/>
      <c r="D437" s="87" t="s">
        <v>584</v>
      </c>
      <c r="E437" s="318" t="e" cm="1">
        <f t="array" ref="E437">IF(AND(ID(138)="Used",OR(ID(14)="Used",ID(15)="Used")),'Train type (2)'!pantograph_raising_time+2,Fixed_Param(216,1))</f>
        <v>#NAME?</v>
      </c>
    </row>
    <row r="438" ht="16.4" customHeight="1" spans="1:6">
      <c r="A438" s="1" t="s">
        <v>174</v>
      </c>
      <c r="B438" s="85" t="s">
        <v>585</v>
      </c>
      <c r="C438" s="234">
        <v>5070070</v>
      </c>
      <c r="D438" s="87" t="s">
        <v>586</v>
      </c>
      <c r="E438" s="391" t="e" cm="1">
        <f t="array" ref="E438">IF(ID(65)="Used",IF(OR(ID(35)="MANUAL_WITH_MONITORING",ID(35)="AUTO"),"TRUE",IF(ID(35)="MANUAL","FALSE","")),Fixed_Param(217,1))</f>
        <v>#NAME?</v>
      </c>
      <c r="F438" s="16"/>
    </row>
    <row r="439" ht="16.4" customHeight="1" spans="1:6">
      <c r="A439" s="1" t="s">
        <v>361</v>
      </c>
      <c r="B439" s="85" t="s">
        <v>587</v>
      </c>
      <c r="C439" s="234">
        <v>5070140</v>
      </c>
      <c r="D439" s="87" t="s">
        <v>588</v>
      </c>
      <c r="E439" s="391" t="e" cm="1">
        <f t="array" ref="E439">IF(ID(14)="Used",Fixed_Param(218,1),Fixed_Param(68,1))</f>
        <v>#NAME?</v>
      </c>
      <c r="F439" s="16"/>
    </row>
    <row r="440" ht="16.4" customHeight="1" spans="1:6">
      <c r="A440" s="1" t="s">
        <v>361</v>
      </c>
      <c r="B440" s="85" t="s">
        <v>589</v>
      </c>
      <c r="C440" s="234">
        <v>5070150</v>
      </c>
      <c r="D440" s="87" t="s">
        <v>590</v>
      </c>
      <c r="E440" s="391" t="e" cm="1">
        <f t="array" ref="E440">IF(ID(15)="Used",Fixed_Param(219,1),Fixed_Param(68,1))</f>
        <v>#NAME?</v>
      </c>
      <c r="F440" s="16"/>
    </row>
    <row r="441" ht="16.4" customHeight="1" spans="1:6">
      <c r="A441" s="1" t="s">
        <v>361</v>
      </c>
      <c r="B441" s="85" t="s">
        <v>591</v>
      </c>
      <c r="C441" s="234">
        <v>5070160</v>
      </c>
      <c r="D441" s="87" t="s">
        <v>592</v>
      </c>
      <c r="E441" s="391" t="e" cm="1">
        <f t="array" ref="E441">IF(AND(ID(14)="Used",VD(1)=2),Fixed_Param(220,1),Fixed_Param(68,1))</f>
        <v>#NAME?</v>
      </c>
      <c r="F441" s="16"/>
    </row>
    <row r="442" ht="16.4" customHeight="1" spans="1:6">
      <c r="A442" s="1" t="s">
        <v>361</v>
      </c>
      <c r="B442" s="85" t="s">
        <v>593</v>
      </c>
      <c r="C442" s="234">
        <v>5070170</v>
      </c>
      <c r="D442" s="87" t="s">
        <v>594</v>
      </c>
      <c r="E442" s="391" t="e" cm="1">
        <f t="array" ref="E442">IF(AND(ID(15)="Used",VD(1)=2),Fixed_Param(221,1),Fixed_Param(68,1))</f>
        <v>#NAME?</v>
      </c>
      <c r="F442" s="16"/>
    </row>
    <row r="443" ht="16.4" customHeight="1" spans="1:6">
      <c r="A443" s="1" t="s">
        <v>361</v>
      </c>
      <c r="B443" s="85" t="s">
        <v>595</v>
      </c>
      <c r="C443" s="234">
        <v>5070180</v>
      </c>
      <c r="D443" s="87" t="s">
        <v>596</v>
      </c>
      <c r="E443" s="392" t="e" cm="1">
        <f t="array" ref="E443">Fixed_Param(72,1)</f>
        <v>#NAME?</v>
      </c>
      <c r="F443" s="16"/>
    </row>
    <row r="444" ht="16.4" customHeight="1" spans="1:6">
      <c r="A444" s="1" t="s">
        <v>361</v>
      </c>
      <c r="B444" s="85" t="s">
        <v>597</v>
      </c>
      <c r="C444" s="234">
        <v>5070190</v>
      </c>
      <c r="D444" s="87" t="s">
        <v>598</v>
      </c>
      <c r="E444" s="392" t="e" cm="1">
        <f t="array" ref="E444">Fixed_Param(73,1)</f>
        <v>#NAME?</v>
      </c>
      <c r="F444" s="16"/>
    </row>
    <row r="445" ht="16.4" customHeight="1" spans="1:6">
      <c r="A445" s="1" t="s">
        <v>361</v>
      </c>
      <c r="B445" s="85" t="s">
        <v>599</v>
      </c>
      <c r="C445" s="234">
        <v>5070200</v>
      </c>
      <c r="D445" s="87" t="s">
        <v>600</v>
      </c>
      <c r="E445" s="392" t="e" cm="1">
        <f t="array" ref="E445">Fixed_Param(74,1)</f>
        <v>#NAME?</v>
      </c>
      <c r="F445" s="16"/>
    </row>
    <row r="446" ht="16.4" customHeight="1" spans="1:6">
      <c r="A446" s="1" t="s">
        <v>361</v>
      </c>
      <c r="B446" s="85" t="s">
        <v>601</v>
      </c>
      <c r="C446" s="234">
        <v>5070100</v>
      </c>
      <c r="D446" s="87" t="s">
        <v>602</v>
      </c>
      <c r="E446" s="389">
        <v>8</v>
      </c>
    </row>
    <row r="447" ht="16.4" customHeight="1" spans="1:6">
      <c r="A447" s="1" t="s">
        <v>570</v>
      </c>
      <c r="B447" s="85"/>
      <c r="C447" s="234"/>
      <c r="D447" s="87" t="s">
        <v>603</v>
      </c>
      <c r="E447" s="318" t="e" cm="1">
        <f t="array" ref="E447">IF(AND(ID(64)="Used",ID(12)="Used"),'Train type (2)'!circuit_breaker_opening_time+2,Fixed_Param(222,1))</f>
        <v>#NAME?</v>
      </c>
      <c r="F447" s="16"/>
    </row>
    <row r="448" ht="16.4" customHeight="1" spans="1:6">
      <c r="A448" s="1" t="s">
        <v>428</v>
      </c>
      <c r="B448" s="85" t="s">
        <v>604</v>
      </c>
      <c r="C448" s="234">
        <v>5070105</v>
      </c>
      <c r="D448" s="87" t="s">
        <v>605</v>
      </c>
      <c r="E448" s="389">
        <v>8</v>
      </c>
    </row>
    <row r="449" ht="16.4" customHeight="1" spans="1:23">
      <c r="A449" s="1" t="s">
        <v>570</v>
      </c>
      <c r="B449" s="85"/>
      <c r="C449" s="234"/>
      <c r="D449" s="87" t="s">
        <v>606</v>
      </c>
      <c r="E449" s="318" t="e" cm="1">
        <f t="array" ref="E449">IF(AND(ID(64)="Used",ID(12)="Used"),'Train type (2)'!circuit_breaker_closing_time+2,Fixed_Param(223,1))</f>
        <v>#NAME?</v>
      </c>
    </row>
    <row r="450" ht="16.4" customHeight="1" spans="1:23">
      <c r="A450" s="1" t="s">
        <v>174</v>
      </c>
      <c r="B450" s="319" t="s">
        <v>607</v>
      </c>
      <c r="C450" s="193">
        <v>5070120</v>
      </c>
      <c r="D450" s="393" t="s">
        <v>608</v>
      </c>
      <c r="E450" s="121" t="e" cm="1">
        <f t="array" ref="E450">IF(ID(65)="Used",IF(ID(193)="Y","TRUE",IF(ID(193)="N","FALSE","")),Fixed_Param(224,1))</f>
        <v>#NAME?</v>
      </c>
      <c r="F450" s="16"/>
    </row>
    <row r="451" ht="16.4" customHeight="1" spans="1:23">
      <c r="A451" s="1" t="s">
        <v>361</v>
      </c>
      <c r="B451" s="319" t="s">
        <v>609</v>
      </c>
      <c r="C451" s="193">
        <v>5070125</v>
      </c>
      <c r="D451" s="393" t="s">
        <v>610</v>
      </c>
      <c r="E451" s="121" t="e" cm="1">
        <f t="array" ref="E451">IF(ID(64)="Used",IF(OR(ID(192)="MANUAL_WITH_MONITORING",ID(192)="AUTO"),"TRUE",IF(ID(192)="MANUAL","FALSE","")),Fixed_Param(225,1))</f>
        <v>#NAME?</v>
      </c>
      <c r="F451" s="16"/>
    </row>
    <row r="452" ht="16.4" customHeight="1" spans="1:23">
      <c r="A452" s="1" t="s">
        <v>361</v>
      </c>
      <c r="B452" s="319"/>
      <c r="C452" s="394"/>
      <c r="D452" s="393" t="s">
        <v>611</v>
      </c>
      <c r="E452" s="395" t="e">
        <f>IF(OR('Train type (2)'!tract_cut_off_for_pwrlss_sct_P="TRUE",'Train type (2)'!tract_cut_off_for_pwrlss_sct_C="TRUE"),'Train type (2)'!tract_cut_off_appl_monit_tmr,"5")</f>
        <v>#NAME?</v>
      </c>
      <c r="F452" s="16"/>
    </row>
    <row r="453" ht="16.4" customHeight="1" spans="1:23">
      <c r="A453" s="1" t="s">
        <v>174</v>
      </c>
      <c r="B453" s="85" t="s">
        <v>612</v>
      </c>
      <c r="C453" s="33">
        <v>5070220</v>
      </c>
      <c r="D453" s="87" t="s">
        <v>613</v>
      </c>
      <c r="E453" s="121" t="e" cm="1">
        <f t="array" ref="E453">IF(ID(65)="Used",IF(ID(37)="Y","TRUE",IF(ID(37)="N","FALSE","")),Fixed_Param(226,1))</f>
        <v>#NAME?</v>
      </c>
      <c r="F453" s="16"/>
    </row>
    <row r="454" ht="16.4" customHeight="1" spans="1:23">
      <c r="A454" s="1" t="s">
        <v>361</v>
      </c>
      <c r="B454" s="319" t="s">
        <v>614</v>
      </c>
      <c r="C454" s="193">
        <v>5070230</v>
      </c>
      <c r="D454" s="87" t="s">
        <v>615</v>
      </c>
      <c r="E454" s="121" t="e" cm="1">
        <f t="array" ref="E454">IF(ID(64)="Used",IF(ID(39)="Y","TRUE",IF(ID(39)="N","FALSE","")),Fixed_Param(227,1))</f>
        <v>#NAME?</v>
      </c>
      <c r="F454" s="16"/>
    </row>
    <row r="455" ht="16.4" customHeight="1" spans="1:23">
      <c r="A455" s="1" t="s">
        <v>616</v>
      </c>
      <c r="B455" s="175" t="s">
        <v>617</v>
      </c>
      <c r="C455" s="176" t="s">
        <v>618</v>
      </c>
      <c r="D455" s="43" t="s">
        <v>619</v>
      </c>
      <c r="E455" s="396" t="e" cm="1">
        <f t="array" ref="E455">Fixed_Param(75,1)</f>
        <v>#NAME?</v>
      </c>
      <c r="F455" s="16"/>
    </row>
    <row r="456" ht="16.4" customHeight="1" spans="1:23">
      <c r="A456" s="1" t="s">
        <v>361</v>
      </c>
      <c r="B456" s="175" t="s">
        <v>620</v>
      </c>
      <c r="C456" s="176" t="s">
        <v>621</v>
      </c>
      <c r="D456" s="43" t="s">
        <v>622</v>
      </c>
      <c r="E456" s="396" t="e" cm="1">
        <f t="array" ref="E456">Fixed_Param(76,1)</f>
        <v>#NAME?</v>
      </c>
      <c r="F456" s="16"/>
    </row>
    <row r="457" ht="16.4" customHeight="1" spans="1:23">
      <c r="A457" s="1" t="s">
        <v>361</v>
      </c>
      <c r="B457" s="175" t="s">
        <v>623</v>
      </c>
      <c r="C457" s="176"/>
      <c r="D457" s="43" t="s">
        <v>624</v>
      </c>
      <c r="E457" s="396" t="e" cm="1">
        <f t="array" ref="E457">Fixed_Param(77,1)</f>
        <v>#NAME?</v>
      </c>
      <c r="F457" s="16"/>
    </row>
    <row r="458" ht="16.4" customHeight="1" spans="1:23">
      <c r="A458" s="1" t="s">
        <v>29</v>
      </c>
      <c r="B458" s="182" t="s">
        <v>625</v>
      </c>
      <c r="C458" s="183"/>
      <c r="D458" s="50" t="s">
        <v>626</v>
      </c>
      <c r="E458" s="317" t="e" cm="1">
        <f t="array" ref="E458">IF(ID(400)="Used",IF(VD(51)="EVC2P",ID(115),IF(VD(51)="EVC3",ID(108),ID(401))),IF(VD(51)="EVC2P",Fixed_Param(135,1),IF(VD(51)="EVC3",Fixed_Param(138,1),Fixed_Param(133,1))))</f>
        <v>#NAME?</v>
      </c>
      <c r="F458" s="16"/>
    </row>
    <row r="459" ht="16.4" customHeight="1" spans="1:23">
      <c r="B459" s="397" t="s">
        <v>627</v>
      </c>
    </row>
    <row r="460" ht="16.4" customHeight="1" spans="1:23">
      <c r="A460" s="1" t="s">
        <v>628</v>
      </c>
      <c r="B460" s="315" t="s">
        <v>629</v>
      </c>
      <c r="C460" s="54"/>
      <c r="D460" s="398" t="s">
        <v>630</v>
      </c>
      <c r="E460" s="399">
        <f>COUNTIF(F461:W461,"&lt;&gt;-")</f>
        <v>2</v>
      </c>
      <c r="F460" s="54">
        <v>1</v>
      </c>
      <c r="G460" s="54">
        <v>2</v>
      </c>
      <c r="H460" s="54">
        <v>3</v>
      </c>
      <c r="I460" s="54">
        <v>4</v>
      </c>
      <c r="J460" s="54">
        <v>5</v>
      </c>
      <c r="K460" s="54">
        <v>6</v>
      </c>
      <c r="L460" s="54">
        <v>7</v>
      </c>
      <c r="M460" s="54">
        <v>8</v>
      </c>
      <c r="N460" s="54">
        <v>9</v>
      </c>
      <c r="O460" s="54">
        <v>10</v>
      </c>
      <c r="P460" s="54">
        <v>11</v>
      </c>
      <c r="Q460" s="54">
        <v>12</v>
      </c>
      <c r="R460" s="54">
        <v>13</v>
      </c>
      <c r="S460" s="54">
        <v>14</v>
      </c>
      <c r="T460" s="54">
        <v>15</v>
      </c>
      <c r="U460" s="54">
        <v>16</v>
      </c>
      <c r="V460" s="125">
        <v>17</v>
      </c>
      <c r="W460" s="125">
        <v>18</v>
      </c>
    </row>
    <row r="461" ht="16.4" customHeight="1" spans="1:23">
      <c r="A461" s="1" t="s">
        <v>628</v>
      </c>
      <c r="B461" s="41"/>
      <c r="C461" s="42"/>
      <c r="D461" s="132" t="s">
        <v>631</v>
      </c>
      <c r="E461" s="400"/>
      <c r="F461" s="401">
        <v>1</v>
      </c>
      <c r="G461" s="401">
        <v>2</v>
      </c>
      <c r="H461" s="401" t="s">
        <v>61</v>
      </c>
      <c r="I461" s="401" t="s">
        <v>61</v>
      </c>
      <c r="J461" s="401" t="s">
        <v>61</v>
      </c>
      <c r="K461" s="401" t="s">
        <v>61</v>
      </c>
      <c r="L461" s="401" t="s">
        <v>61</v>
      </c>
      <c r="M461" s="401" t="s">
        <v>61</v>
      </c>
      <c r="N461" s="401" t="s">
        <v>61</v>
      </c>
      <c r="O461" s="401" t="s">
        <v>61</v>
      </c>
      <c r="P461" s="401" t="s">
        <v>61</v>
      </c>
      <c r="Q461" s="401" t="s">
        <v>61</v>
      </c>
      <c r="R461" s="401" t="s">
        <v>61</v>
      </c>
      <c r="S461" s="401" t="s">
        <v>61</v>
      </c>
      <c r="T461" s="401" t="s">
        <v>61</v>
      </c>
      <c r="U461" s="401" t="s">
        <v>61</v>
      </c>
      <c r="V461" s="402" t="s">
        <v>61</v>
      </c>
      <c r="W461" s="402" t="s">
        <v>61</v>
      </c>
    </row>
    <row r="462" ht="16.4" customHeight="1" spans="1:23">
      <c r="A462" s="1" t="s">
        <v>628</v>
      </c>
      <c r="B462" s="41"/>
      <c r="C462" s="42"/>
      <c r="D462" s="403" t="s">
        <v>632</v>
      </c>
      <c r="E462" s="404"/>
      <c r="F462" s="401">
        <v>40</v>
      </c>
      <c r="G462" s="401">
        <v>248</v>
      </c>
      <c r="H462" s="401" t="s">
        <v>61</v>
      </c>
      <c r="I462" s="401" t="s">
        <v>61</v>
      </c>
      <c r="J462" s="401" t="s">
        <v>61</v>
      </c>
      <c r="K462" s="401" t="s">
        <v>61</v>
      </c>
      <c r="L462" s="401" t="s">
        <v>61</v>
      </c>
      <c r="M462" s="401" t="s">
        <v>61</v>
      </c>
      <c r="N462" s="401" t="s">
        <v>61</v>
      </c>
      <c r="O462" s="401" t="s">
        <v>61</v>
      </c>
      <c r="P462" s="401" t="s">
        <v>61</v>
      </c>
      <c r="Q462" s="401" t="s">
        <v>61</v>
      </c>
      <c r="R462" s="401" t="s">
        <v>61</v>
      </c>
      <c r="S462" s="401" t="s">
        <v>61</v>
      </c>
      <c r="T462" s="401" t="s">
        <v>61</v>
      </c>
      <c r="U462" s="401" t="s">
        <v>61</v>
      </c>
      <c r="V462" s="402" t="s">
        <v>61</v>
      </c>
      <c r="W462" s="402" t="s">
        <v>61</v>
      </c>
    </row>
    <row r="463" ht="16.4" customHeight="1" spans="1:23">
      <c r="A463" s="1" t="s">
        <v>628</v>
      </c>
      <c r="B463" s="41"/>
      <c r="C463" s="42"/>
      <c r="D463" s="405" t="s">
        <v>633</v>
      </c>
      <c r="E463" s="404"/>
      <c r="F463" s="401" t="s">
        <v>634</v>
      </c>
      <c r="G463" s="401" t="s">
        <v>635</v>
      </c>
      <c r="H463" s="401" t="s">
        <v>61</v>
      </c>
      <c r="I463" s="401" t="s">
        <v>61</v>
      </c>
      <c r="J463" s="401" t="s">
        <v>61</v>
      </c>
      <c r="K463" s="401" t="s">
        <v>61</v>
      </c>
      <c r="L463" s="401" t="s">
        <v>61</v>
      </c>
      <c r="M463" s="401" t="s">
        <v>61</v>
      </c>
      <c r="N463" s="401" t="s">
        <v>61</v>
      </c>
      <c r="O463" s="401" t="s">
        <v>61</v>
      </c>
      <c r="P463" s="401" t="s">
        <v>61</v>
      </c>
      <c r="Q463" s="401" t="s">
        <v>61</v>
      </c>
      <c r="R463" s="401" t="s">
        <v>61</v>
      </c>
      <c r="S463" s="401" t="s">
        <v>61</v>
      </c>
      <c r="T463" s="401" t="s">
        <v>61</v>
      </c>
      <c r="U463" s="401" t="s">
        <v>61</v>
      </c>
      <c r="V463" s="402" t="s">
        <v>61</v>
      </c>
      <c r="W463" s="402" t="s">
        <v>61</v>
      </c>
    </row>
    <row r="464" ht="16.4" customHeight="1" spans="1:23">
      <c r="A464" s="1" t="s">
        <v>84</v>
      </c>
      <c r="B464" s="41"/>
      <c r="C464" s="43"/>
      <c r="D464" s="43" t="s">
        <v>636</v>
      </c>
      <c r="E464" s="400"/>
      <c r="F464" s="401" t="s">
        <v>637</v>
      </c>
      <c r="G464" s="401" t="s">
        <v>638</v>
      </c>
      <c r="H464" s="401" t="s">
        <v>61</v>
      </c>
      <c r="I464" s="401" t="s">
        <v>61</v>
      </c>
      <c r="J464" s="401" t="s">
        <v>61</v>
      </c>
      <c r="K464" s="401" t="s">
        <v>61</v>
      </c>
      <c r="L464" s="401" t="s">
        <v>61</v>
      </c>
      <c r="M464" s="401" t="s">
        <v>61</v>
      </c>
      <c r="N464" s="401" t="s">
        <v>61</v>
      </c>
      <c r="O464" s="401" t="s">
        <v>61</v>
      </c>
      <c r="P464" s="401" t="s">
        <v>61</v>
      </c>
      <c r="Q464" s="401" t="s">
        <v>61</v>
      </c>
      <c r="R464" s="401" t="s">
        <v>61</v>
      </c>
      <c r="S464" s="401" t="s">
        <v>61</v>
      </c>
      <c r="T464" s="401" t="s">
        <v>61</v>
      </c>
      <c r="U464" s="401" t="s">
        <v>61</v>
      </c>
      <c r="V464" s="402" t="s">
        <v>61</v>
      </c>
      <c r="W464" s="402" t="s">
        <v>61</v>
      </c>
    </row>
    <row r="465" ht="16.4" customHeight="1" spans="1:24">
      <c r="A465" s="1" t="s">
        <v>639</v>
      </c>
      <c r="B465" s="41"/>
      <c r="C465" s="42"/>
      <c r="D465" s="403" t="s">
        <v>640</v>
      </c>
      <c r="E465" s="406"/>
      <c r="F465" s="401" t="s">
        <v>641</v>
      </c>
      <c r="G465" s="401" t="s">
        <v>641</v>
      </c>
      <c r="H465" s="401" t="s">
        <v>61</v>
      </c>
      <c r="I465" s="401" t="s">
        <v>61</v>
      </c>
      <c r="J465" s="401" t="s">
        <v>61</v>
      </c>
      <c r="K465" s="401" t="s">
        <v>61</v>
      </c>
      <c r="L465" s="401" t="s">
        <v>61</v>
      </c>
      <c r="M465" s="401" t="s">
        <v>61</v>
      </c>
      <c r="N465" s="401" t="s">
        <v>61</v>
      </c>
      <c r="O465" s="401" t="s">
        <v>61</v>
      </c>
      <c r="P465" s="401" t="s">
        <v>61</v>
      </c>
      <c r="Q465" s="401" t="s">
        <v>61</v>
      </c>
      <c r="R465" s="401" t="s">
        <v>61</v>
      </c>
      <c r="S465" s="401" t="s">
        <v>61</v>
      </c>
      <c r="T465" s="401" t="s">
        <v>61</v>
      </c>
      <c r="U465" s="401" t="s">
        <v>61</v>
      </c>
      <c r="V465" s="402" t="s">
        <v>61</v>
      </c>
      <c r="W465" s="402" t="s">
        <v>61</v>
      </c>
    </row>
    <row r="466" ht="16.4" customHeight="1" spans="1:24">
      <c r="A466" s="1" t="s">
        <v>639</v>
      </c>
      <c r="B466" s="48"/>
      <c r="C466" s="59"/>
      <c r="D466" s="407" t="s">
        <v>642</v>
      </c>
      <c r="E466" s="408"/>
      <c r="F466" s="409">
        <v>1</v>
      </c>
      <c r="G466" s="409" t="s">
        <v>643</v>
      </c>
      <c r="H466" s="409" t="s">
        <v>61</v>
      </c>
      <c r="I466" s="409" t="s">
        <v>61</v>
      </c>
      <c r="J466" s="409" t="s">
        <v>61</v>
      </c>
      <c r="K466" s="409" t="s">
        <v>61</v>
      </c>
      <c r="L466" s="409" t="s">
        <v>61</v>
      </c>
      <c r="M466" s="409" t="s">
        <v>61</v>
      </c>
      <c r="N466" s="409" t="s">
        <v>61</v>
      </c>
      <c r="O466" s="409" t="s">
        <v>61</v>
      </c>
      <c r="P466" s="409" t="s">
        <v>61</v>
      </c>
      <c r="Q466" s="409" t="s">
        <v>61</v>
      </c>
      <c r="R466" s="409" t="s">
        <v>61</v>
      </c>
      <c r="S466" s="409" t="s">
        <v>61</v>
      </c>
      <c r="T466" s="409" t="s">
        <v>61</v>
      </c>
      <c r="U466" s="409" t="s">
        <v>61</v>
      </c>
      <c r="V466" s="410" t="s">
        <v>61</v>
      </c>
      <c r="W466" s="410" t="s">
        <v>61</v>
      </c>
    </row>
    <row r="467" ht="16.4" customHeight="1" spans="1:24">
      <c r="B467" s="397" t="s">
        <v>627</v>
      </c>
      <c r="F467" s="3"/>
      <c r="G467" s="3"/>
      <c r="H467" s="3"/>
    </row>
    <row r="468" ht="16.4" customHeight="1" spans="1:24">
      <c r="A468" s="1" t="s">
        <v>628</v>
      </c>
      <c r="B468" s="315" t="s">
        <v>644</v>
      </c>
      <c r="C468" s="54"/>
      <c r="D468" s="398" t="s">
        <v>645</v>
      </c>
      <c r="E468" s="399">
        <f>COUNTIF(F469:X469,"&lt;&gt;-")</f>
        <v>4</v>
      </c>
      <c r="F468" s="54">
        <v>1</v>
      </c>
      <c r="G468" s="54">
        <v>2</v>
      </c>
      <c r="H468" s="54">
        <v>3</v>
      </c>
      <c r="I468" s="54">
        <v>4</v>
      </c>
      <c r="J468" s="54">
        <v>5</v>
      </c>
      <c r="K468" s="54">
        <v>6</v>
      </c>
      <c r="L468" s="54">
        <v>7</v>
      </c>
      <c r="M468" s="54">
        <v>8</v>
      </c>
      <c r="N468" s="54">
        <v>9</v>
      </c>
      <c r="O468" s="54">
        <v>10</v>
      </c>
      <c r="P468" s="54">
        <v>11</v>
      </c>
      <c r="Q468" s="54">
        <v>12</v>
      </c>
      <c r="R468" s="54">
        <v>13</v>
      </c>
      <c r="S468" s="54">
        <v>14</v>
      </c>
      <c r="T468" s="54">
        <v>15</v>
      </c>
      <c r="U468" s="54">
        <v>16</v>
      </c>
      <c r="V468" s="54">
        <v>17</v>
      </c>
      <c r="W468" s="125">
        <v>18</v>
      </c>
      <c r="X468" s="125">
        <v>19</v>
      </c>
    </row>
    <row r="469" ht="16.4" customHeight="1" spans="1:24">
      <c r="A469" s="1" t="s">
        <v>628</v>
      </c>
      <c r="B469" s="41"/>
      <c r="C469" s="42"/>
      <c r="D469" s="405" t="s">
        <v>631</v>
      </c>
      <c r="E469" s="404"/>
      <c r="F469" s="401">
        <v>1</v>
      </c>
      <c r="G469" s="401">
        <v>2</v>
      </c>
      <c r="H469" s="401">
        <v>3</v>
      </c>
      <c r="I469" s="401">
        <v>16</v>
      </c>
      <c r="J469" s="401" t="s">
        <v>61</v>
      </c>
      <c r="K469" s="401" t="s">
        <v>61</v>
      </c>
      <c r="L469" s="401" t="s">
        <v>61</v>
      </c>
      <c r="M469" s="401" t="s">
        <v>61</v>
      </c>
      <c r="N469" s="401" t="s">
        <v>61</v>
      </c>
      <c r="O469" s="401" t="s">
        <v>61</v>
      </c>
      <c r="P469" s="401" t="s">
        <v>61</v>
      </c>
      <c r="Q469" s="401" t="s">
        <v>61</v>
      </c>
      <c r="R469" s="401" t="s">
        <v>61</v>
      </c>
      <c r="S469" s="401" t="s">
        <v>61</v>
      </c>
      <c r="T469" s="401" t="s">
        <v>61</v>
      </c>
      <c r="U469" s="401" t="s">
        <v>61</v>
      </c>
      <c r="V469" s="401" t="s">
        <v>61</v>
      </c>
      <c r="W469" s="402" t="s">
        <v>61</v>
      </c>
      <c r="X469" s="402" t="s">
        <v>61</v>
      </c>
    </row>
    <row r="470" ht="16.4" customHeight="1" spans="1:24">
      <c r="A470" s="1" t="s">
        <v>628</v>
      </c>
      <c r="B470" s="41"/>
      <c r="C470" s="42"/>
      <c r="D470" s="405" t="s">
        <v>632</v>
      </c>
      <c r="E470" s="400"/>
      <c r="F470" s="401">
        <v>32</v>
      </c>
      <c r="G470" s="401">
        <v>248</v>
      </c>
      <c r="H470" s="401">
        <v>128</v>
      </c>
      <c r="I470" s="401">
        <v>256</v>
      </c>
      <c r="J470" s="401" t="s">
        <v>61</v>
      </c>
      <c r="K470" s="401" t="s">
        <v>61</v>
      </c>
      <c r="L470" s="401" t="s">
        <v>61</v>
      </c>
      <c r="M470" s="401" t="s">
        <v>61</v>
      </c>
      <c r="N470" s="401" t="s">
        <v>61</v>
      </c>
      <c r="O470" s="401" t="s">
        <v>61</v>
      </c>
      <c r="P470" s="401" t="s">
        <v>61</v>
      </c>
      <c r="Q470" s="401" t="s">
        <v>61</v>
      </c>
      <c r="R470" s="401" t="s">
        <v>61</v>
      </c>
      <c r="S470" s="401" t="s">
        <v>61</v>
      </c>
      <c r="T470" s="401" t="s">
        <v>61</v>
      </c>
      <c r="U470" s="401" t="s">
        <v>61</v>
      </c>
      <c r="V470" s="401" t="s">
        <v>61</v>
      </c>
      <c r="W470" s="402" t="s">
        <v>61</v>
      </c>
      <c r="X470" s="402" t="s">
        <v>61</v>
      </c>
    </row>
    <row r="471" ht="16.4" customHeight="1" spans="1:24">
      <c r="A471" s="1" t="s">
        <v>84</v>
      </c>
      <c r="B471" s="48"/>
      <c r="C471" s="59"/>
      <c r="D471" s="50" t="s">
        <v>636</v>
      </c>
      <c r="E471" s="408"/>
      <c r="F471" s="409" t="s">
        <v>637</v>
      </c>
      <c r="G471" s="409" t="s">
        <v>638</v>
      </c>
      <c r="H471" s="409" t="s">
        <v>637</v>
      </c>
      <c r="I471" s="409" t="s">
        <v>637</v>
      </c>
      <c r="J471" s="409" t="s">
        <v>61</v>
      </c>
      <c r="K471" s="409" t="s">
        <v>61</v>
      </c>
      <c r="L471" s="409" t="s">
        <v>61</v>
      </c>
      <c r="M471" s="409" t="s">
        <v>61</v>
      </c>
      <c r="N471" s="409" t="s">
        <v>61</v>
      </c>
      <c r="O471" s="409" t="s">
        <v>61</v>
      </c>
      <c r="P471" s="409" t="s">
        <v>61</v>
      </c>
      <c r="Q471" s="409" t="s">
        <v>61</v>
      </c>
      <c r="R471" s="409" t="s">
        <v>61</v>
      </c>
      <c r="S471" s="409" t="s">
        <v>61</v>
      </c>
      <c r="T471" s="409" t="s">
        <v>61</v>
      </c>
      <c r="U471" s="409" t="s">
        <v>61</v>
      </c>
      <c r="V471" s="409" t="s">
        <v>61</v>
      </c>
      <c r="W471" s="410" t="s">
        <v>61</v>
      </c>
      <c r="X471" s="410" t="s">
        <v>61</v>
      </c>
    </row>
    <row r="472" ht="16.4" customHeight="1" spans="1:24">
      <c r="B472" s="397" t="s">
        <v>646</v>
      </c>
      <c r="F472" s="16"/>
    </row>
    <row r="473" ht="16.4" customHeight="1" spans="1:24">
      <c r="A473" s="1" t="s">
        <v>361</v>
      </c>
      <c r="B473" s="315" t="s">
        <v>647</v>
      </c>
      <c r="C473" s="163"/>
      <c r="D473" s="411"/>
      <c r="E473" s="327" t="s">
        <v>648</v>
      </c>
      <c r="F473" s="327" t="s">
        <v>649</v>
      </c>
    </row>
    <row r="474" ht="16.4" customHeight="1" spans="1:24">
      <c r="A474" s="1" t="s">
        <v>361</v>
      </c>
      <c r="B474" s="412"/>
      <c r="C474" s="176" t="s">
        <v>650</v>
      </c>
      <c r="D474" s="380" t="s">
        <v>651</v>
      </c>
      <c r="E474" s="413" t="str">
        <f>F474</f>
        <v>HIGH</v>
      </c>
      <c r="F474" s="414" t="s">
        <v>652</v>
      </c>
    </row>
    <row r="475" ht="16.4" customHeight="1" spans="1:24">
      <c r="A475" s="1" t="s">
        <v>361</v>
      </c>
      <c r="B475" s="412"/>
      <c r="C475" s="176" t="s">
        <v>653</v>
      </c>
      <c r="D475" s="380" t="s">
        <v>654</v>
      </c>
      <c r="E475" s="413" t="str">
        <f>F475</f>
        <v>LOW</v>
      </c>
      <c r="F475" s="414" t="s">
        <v>655</v>
      </c>
    </row>
    <row r="476" ht="16.4" customHeight="1" spans="1:24">
      <c r="A476" s="1" t="s">
        <v>361</v>
      </c>
      <c r="B476" s="412"/>
      <c r="C476" s="176" t="s">
        <v>656</v>
      </c>
      <c r="D476" s="380" t="s">
        <v>657</v>
      </c>
      <c r="E476" s="413" t="str">
        <f>F476</f>
        <v>HIGH</v>
      </c>
      <c r="F476" s="414" t="s">
        <v>652</v>
      </c>
    </row>
    <row r="477" ht="16.4" customHeight="1" spans="1:24">
      <c r="A477" s="1" t="s">
        <v>361</v>
      </c>
      <c r="B477" s="175"/>
      <c r="C477" s="176" t="s">
        <v>658</v>
      </c>
      <c r="D477" s="380" t="s">
        <v>659</v>
      </c>
      <c r="E477" s="413" t="str">
        <f>F477</f>
        <v>HIGH</v>
      </c>
      <c r="F477" s="414" t="s">
        <v>652</v>
      </c>
    </row>
    <row r="478" ht="16.4" customHeight="1" spans="1:24">
      <c r="A478" s="1" t="s">
        <v>361</v>
      </c>
      <c r="B478" s="175"/>
      <c r="C478" s="176" t="s">
        <v>660</v>
      </c>
      <c r="D478" s="380" t="s">
        <v>661</v>
      </c>
      <c r="E478" s="413" t="str">
        <f>F478</f>
        <v>LOW</v>
      </c>
      <c r="F478" s="414" t="s">
        <v>655</v>
      </c>
    </row>
    <row r="479" ht="16.4" customHeight="1" spans="1:24">
      <c r="A479" s="1" t="s">
        <v>361</v>
      </c>
      <c r="B479" s="175"/>
      <c r="C479" s="176" t="s">
        <v>662</v>
      </c>
      <c r="D479" s="380" t="s">
        <v>663</v>
      </c>
      <c r="E479" s="413" t="str">
        <f>F479</f>
        <v>LOW</v>
      </c>
      <c r="F479" s="414" t="s">
        <v>655</v>
      </c>
    </row>
    <row r="480" ht="16.4" customHeight="1" spans="1:24">
      <c r="A480" s="1" t="s">
        <v>361</v>
      </c>
      <c r="B480" s="175"/>
      <c r="C480" s="176" t="s">
        <v>664</v>
      </c>
      <c r="D480" s="380" t="s">
        <v>665</v>
      </c>
      <c r="E480" s="413" t="str">
        <f>F480</f>
        <v>LOW</v>
      </c>
      <c r="F480" s="414" t="s">
        <v>655</v>
      </c>
    </row>
    <row r="481" ht="16.4" customHeight="1" spans="1:6">
      <c r="A481" s="1" t="s">
        <v>361</v>
      </c>
      <c r="B481" s="175"/>
      <c r="C481" s="176" t="s">
        <v>666</v>
      </c>
      <c r="D481" s="380" t="s">
        <v>667</v>
      </c>
      <c r="E481" s="413" t="str">
        <f>F481</f>
        <v>HIGH</v>
      </c>
      <c r="F481" s="414" t="s">
        <v>652</v>
      </c>
    </row>
    <row r="482" ht="16.4" customHeight="1" spans="1:6">
      <c r="A482" s="1" t="s">
        <v>361</v>
      </c>
      <c r="B482" s="175"/>
      <c r="C482" s="176" t="s">
        <v>668</v>
      </c>
      <c r="D482" s="380" t="s">
        <v>669</v>
      </c>
      <c r="E482" s="413" t="str">
        <f>F482</f>
        <v>HIGH</v>
      </c>
      <c r="F482" s="414" t="s">
        <v>652</v>
      </c>
    </row>
    <row r="483" ht="16.4" customHeight="1" spans="1:6">
      <c r="A483" s="1" t="s">
        <v>361</v>
      </c>
      <c r="B483" s="175"/>
      <c r="C483" s="176" t="s">
        <v>670</v>
      </c>
      <c r="D483" s="380" t="s">
        <v>671</v>
      </c>
      <c r="E483" s="413" t="str">
        <f>F483</f>
        <v>LOW</v>
      </c>
      <c r="F483" s="414" t="s">
        <v>655</v>
      </c>
    </row>
    <row r="484" ht="16.4" customHeight="1" spans="1:6">
      <c r="A484" s="1" t="s">
        <v>361</v>
      </c>
      <c r="B484" s="175"/>
      <c r="C484" s="176" t="s">
        <v>672</v>
      </c>
      <c r="D484" s="380" t="s">
        <v>673</v>
      </c>
      <c r="E484" s="413" t="str">
        <f>F484</f>
        <v>LOW</v>
      </c>
      <c r="F484" s="414" t="s">
        <v>655</v>
      </c>
    </row>
    <row r="485" ht="16.4" customHeight="1" spans="1:6">
      <c r="A485" s="1" t="s">
        <v>361</v>
      </c>
      <c r="B485" s="175"/>
      <c r="C485" s="176" t="s">
        <v>674</v>
      </c>
      <c r="D485" s="380" t="s">
        <v>675</v>
      </c>
      <c r="E485" s="413" t="str">
        <f>F485</f>
        <v>LOW</v>
      </c>
      <c r="F485" s="414" t="s">
        <v>655</v>
      </c>
    </row>
    <row r="486" ht="16.4" customHeight="1" spans="1:6">
      <c r="A486" s="1" t="s">
        <v>361</v>
      </c>
      <c r="B486" s="175"/>
      <c r="C486" s="176" t="s">
        <v>676</v>
      </c>
      <c r="D486" s="380" t="s">
        <v>677</v>
      </c>
      <c r="E486" s="413" t="str">
        <f>F486</f>
        <v>LOW</v>
      </c>
      <c r="F486" s="414" t="s">
        <v>655</v>
      </c>
    </row>
    <row r="487" ht="16.4" customHeight="1" spans="1:6">
      <c r="A487" s="1" t="s">
        <v>361</v>
      </c>
      <c r="B487" s="175"/>
      <c r="C487" s="176" t="s">
        <v>678</v>
      </c>
      <c r="D487" s="380" t="s">
        <v>679</v>
      </c>
      <c r="E487" s="413" t="str">
        <f>F487</f>
        <v>LOW</v>
      </c>
      <c r="F487" s="414" t="s">
        <v>655</v>
      </c>
    </row>
    <row r="488" ht="16.4" customHeight="1" spans="1:6">
      <c r="A488" s="1" t="s">
        <v>361</v>
      </c>
      <c r="B488" s="175"/>
      <c r="C488" s="176" t="s">
        <v>680</v>
      </c>
      <c r="D488" s="380" t="s">
        <v>681</v>
      </c>
      <c r="E488" s="413" t="str">
        <f>F488</f>
        <v>LOW</v>
      </c>
      <c r="F488" s="414" t="s">
        <v>655</v>
      </c>
    </row>
    <row r="489" ht="16.4" customHeight="1" spans="1:6">
      <c r="A489" s="1" t="s">
        <v>361</v>
      </c>
      <c r="B489" s="175"/>
      <c r="C489" s="176" t="s">
        <v>682</v>
      </c>
      <c r="D489" s="380" t="s">
        <v>683</v>
      </c>
      <c r="E489" s="413" t="str">
        <f>F489</f>
        <v>LOW</v>
      </c>
      <c r="F489" s="414" t="s">
        <v>655</v>
      </c>
    </row>
    <row r="490" ht="16.4" customHeight="1" spans="1:6">
      <c r="A490" s="1" t="s">
        <v>361</v>
      </c>
      <c r="B490" s="175"/>
      <c r="C490" s="176" t="s">
        <v>684</v>
      </c>
      <c r="D490" s="380" t="s">
        <v>685</v>
      </c>
      <c r="E490" s="413" t="str">
        <f>F490</f>
        <v>LOW</v>
      </c>
      <c r="F490" s="414" t="s">
        <v>655</v>
      </c>
    </row>
    <row r="491" ht="16.4" customHeight="1" spans="1:6">
      <c r="A491" s="1" t="s">
        <v>361</v>
      </c>
      <c r="B491" s="175"/>
      <c r="C491" s="176" t="s">
        <v>686</v>
      </c>
      <c r="D491" s="380" t="s">
        <v>687</v>
      </c>
      <c r="E491" s="413" t="str">
        <f>F491</f>
        <v>LOW</v>
      </c>
      <c r="F491" s="414" t="s">
        <v>655</v>
      </c>
    </row>
    <row r="492" ht="16.4" customHeight="1" spans="1:6">
      <c r="A492" s="1" t="s">
        <v>361</v>
      </c>
      <c r="B492" s="175"/>
      <c r="C492" s="176" t="s">
        <v>688</v>
      </c>
      <c r="D492" s="380" t="s">
        <v>689</v>
      </c>
      <c r="E492" s="413" t="str">
        <f>F492</f>
        <v>LOW</v>
      </c>
      <c r="F492" s="414" t="s">
        <v>655</v>
      </c>
    </row>
    <row r="493" ht="16.4" customHeight="1" spans="1:6">
      <c r="A493" s="1" t="s">
        <v>361</v>
      </c>
      <c r="B493" s="175"/>
      <c r="C493" s="176" t="s">
        <v>690</v>
      </c>
      <c r="D493" s="380" t="s">
        <v>691</v>
      </c>
      <c r="E493" s="413" t="str">
        <f>F493</f>
        <v>LOW</v>
      </c>
      <c r="F493" s="414" t="s">
        <v>655</v>
      </c>
    </row>
    <row r="494" ht="16.4" customHeight="1" spans="1:6">
      <c r="A494" s="1" t="s">
        <v>361</v>
      </c>
      <c r="B494" s="175"/>
      <c r="C494" s="176" t="s">
        <v>692</v>
      </c>
      <c r="D494" s="380" t="s">
        <v>693</v>
      </c>
      <c r="E494" s="413" t="str">
        <f>F494</f>
        <v>LOW</v>
      </c>
      <c r="F494" s="414" t="s">
        <v>655</v>
      </c>
    </row>
    <row r="495" ht="16.4" customHeight="1" spans="1:6">
      <c r="A495" s="1" t="s">
        <v>361</v>
      </c>
      <c r="B495" s="175"/>
      <c r="C495" s="176" t="s">
        <v>694</v>
      </c>
      <c r="D495" s="380" t="s">
        <v>695</v>
      </c>
      <c r="E495" s="413" t="str">
        <f>F495</f>
        <v>LOW</v>
      </c>
      <c r="F495" s="414" t="s">
        <v>655</v>
      </c>
    </row>
    <row r="496" ht="16.4" customHeight="1" spans="1:6">
      <c r="A496" s="1" t="s">
        <v>361</v>
      </c>
      <c r="B496" s="175"/>
      <c r="C496" s="176" t="s">
        <v>696</v>
      </c>
      <c r="D496" s="380" t="s">
        <v>697</v>
      </c>
      <c r="E496" s="413" t="str">
        <f>F496</f>
        <v>LOW</v>
      </c>
      <c r="F496" s="414" t="s">
        <v>655</v>
      </c>
    </row>
    <row r="497" ht="16.4" customHeight="1" spans="1:6">
      <c r="A497" s="1" t="s">
        <v>361</v>
      </c>
      <c r="B497" s="175"/>
      <c r="C497" s="176" t="s">
        <v>698</v>
      </c>
      <c r="D497" s="380" t="s">
        <v>699</v>
      </c>
      <c r="E497" s="413" t="str">
        <f>F497</f>
        <v>LOW</v>
      </c>
      <c r="F497" s="414" t="s">
        <v>655</v>
      </c>
    </row>
    <row r="498" ht="16.4" customHeight="1" spans="1:6">
      <c r="A498" s="1" t="s">
        <v>361</v>
      </c>
      <c r="B498" s="175"/>
      <c r="C498" s="176" t="s">
        <v>700</v>
      </c>
      <c r="D498" s="380" t="s">
        <v>701</v>
      </c>
      <c r="E498" s="413" t="str">
        <f>F498</f>
        <v>LOW</v>
      </c>
      <c r="F498" s="414" t="s">
        <v>655</v>
      </c>
    </row>
    <row r="499" ht="16.4" customHeight="1" spans="1:6">
      <c r="A499" s="1" t="s">
        <v>361</v>
      </c>
      <c r="B499" s="175"/>
      <c r="C499" s="176" t="s">
        <v>702</v>
      </c>
      <c r="D499" s="380" t="s">
        <v>703</v>
      </c>
      <c r="E499" s="413" t="str">
        <f>F499</f>
        <v>LOW</v>
      </c>
      <c r="F499" s="414" t="s">
        <v>655</v>
      </c>
    </row>
    <row r="500" ht="16.4" customHeight="1" spans="1:6">
      <c r="A500" s="1" t="s">
        <v>361</v>
      </c>
      <c r="B500" s="175"/>
      <c r="C500" s="176" t="s">
        <v>704</v>
      </c>
      <c r="D500" s="380" t="s">
        <v>705</v>
      </c>
      <c r="E500" s="413" t="str">
        <f>F500</f>
        <v>LOW</v>
      </c>
      <c r="F500" s="414" t="s">
        <v>655</v>
      </c>
    </row>
    <row r="501" ht="16.4" customHeight="1" spans="1:6">
      <c r="A501" s="1" t="s">
        <v>361</v>
      </c>
      <c r="B501" s="175"/>
      <c r="C501" s="176" t="s">
        <v>706</v>
      </c>
      <c r="D501" s="380" t="s">
        <v>707</v>
      </c>
      <c r="E501" s="413" t="str">
        <f>F501</f>
        <v>LOW</v>
      </c>
      <c r="F501" s="414" t="s">
        <v>655</v>
      </c>
    </row>
    <row r="502" ht="16.4" customHeight="1" spans="1:6">
      <c r="A502" s="1" t="s">
        <v>361</v>
      </c>
      <c r="B502" s="175"/>
      <c r="C502" s="176" t="s">
        <v>708</v>
      </c>
      <c r="D502" s="380" t="s">
        <v>709</v>
      </c>
      <c r="E502" s="413" t="str">
        <f>F502</f>
        <v>LOW</v>
      </c>
      <c r="F502" s="414" t="s">
        <v>655</v>
      </c>
    </row>
    <row r="503" ht="16.4" customHeight="1" spans="1:6">
      <c r="A503" s="1" t="s">
        <v>361</v>
      </c>
      <c r="B503" s="175"/>
      <c r="C503" s="176" t="s">
        <v>710</v>
      </c>
      <c r="D503" s="380" t="s">
        <v>711</v>
      </c>
      <c r="E503" s="413" t="str">
        <f>F503</f>
        <v>LOW</v>
      </c>
      <c r="F503" s="414" t="s">
        <v>655</v>
      </c>
    </row>
    <row r="504" ht="16.4" customHeight="1" spans="1:6">
      <c r="A504" s="1" t="s">
        <v>361</v>
      </c>
      <c r="B504" s="175"/>
      <c r="C504" s="176" t="s">
        <v>712</v>
      </c>
      <c r="D504" s="380" t="s">
        <v>713</v>
      </c>
      <c r="E504" s="413" t="str">
        <f>F504</f>
        <v>LOW</v>
      </c>
      <c r="F504" s="414" t="s">
        <v>655</v>
      </c>
    </row>
    <row r="505" ht="16.4" customHeight="1" spans="1:6">
      <c r="A505" s="1" t="s">
        <v>361</v>
      </c>
      <c r="B505" s="175"/>
      <c r="C505" s="176" t="s">
        <v>714</v>
      </c>
      <c r="D505" s="380" t="s">
        <v>715</v>
      </c>
      <c r="E505" s="413" t="str">
        <f>F505</f>
        <v>LOW</v>
      </c>
      <c r="F505" s="414" t="s">
        <v>655</v>
      </c>
    </row>
    <row r="506" ht="16.4" customHeight="1" spans="1:6">
      <c r="A506" s="1" t="s">
        <v>716</v>
      </c>
      <c r="B506" s="175"/>
      <c r="C506" s="176"/>
      <c r="D506" s="380" t="s">
        <v>717</v>
      </c>
      <c r="E506" s="415" t="e" cm="1">
        <f t="array" ref="E506">Fixed_Param(600,1)</f>
        <v>#NAME?</v>
      </c>
      <c r="F506" s="414"/>
    </row>
    <row r="507" ht="16.4" customHeight="1" spans="1:6">
      <c r="A507" s="1" t="s">
        <v>716</v>
      </c>
      <c r="B507" s="175"/>
      <c r="C507" s="176"/>
      <c r="D507" s="380" t="s">
        <v>718</v>
      </c>
      <c r="E507" s="415" t="e" cm="1">
        <f t="array" ref="E507">Fixed_Param(601,1)</f>
        <v>#NAME?</v>
      </c>
      <c r="F507" s="414"/>
    </row>
    <row r="508" ht="16.4" customHeight="1" spans="1:6">
      <c r="A508" s="1" t="s">
        <v>716</v>
      </c>
      <c r="B508" s="175"/>
      <c r="C508" s="176"/>
      <c r="D508" s="380" t="s">
        <v>719</v>
      </c>
      <c r="E508" s="415" t="e" cm="1">
        <f t="array" ref="E508">Fixed_Param(602,1)</f>
        <v>#NAME?</v>
      </c>
      <c r="F508" s="414"/>
    </row>
    <row r="509" ht="16.4" customHeight="1" spans="1:6">
      <c r="A509" s="1" t="s">
        <v>716</v>
      </c>
      <c r="B509" s="175"/>
      <c r="C509" s="176"/>
      <c r="D509" s="380" t="s">
        <v>720</v>
      </c>
      <c r="E509" s="415" t="e" cm="1">
        <f t="array" ref="E509">Fixed_Param(603,1)</f>
        <v>#NAME?</v>
      </c>
      <c r="F509" s="414"/>
    </row>
    <row r="510" ht="16.4" customHeight="1" spans="1:6">
      <c r="A510" s="1" t="s">
        <v>716</v>
      </c>
      <c r="B510" s="175"/>
      <c r="C510" s="176"/>
      <c r="D510" s="380" t="s">
        <v>721</v>
      </c>
      <c r="E510" s="415" t="e" cm="1">
        <f t="array" ref="E510">Fixed_Param(604,1)</f>
        <v>#NAME?</v>
      </c>
      <c r="F510" s="414"/>
    </row>
    <row r="511" ht="16.4" customHeight="1" spans="1:6">
      <c r="A511" s="1" t="s">
        <v>716</v>
      </c>
      <c r="B511" s="175"/>
      <c r="C511" s="176"/>
      <c r="D511" s="380" t="s">
        <v>722</v>
      </c>
      <c r="E511" s="415" t="e" cm="1">
        <f t="array" ref="E511">Fixed_Param(605,1)</f>
        <v>#NAME?</v>
      </c>
      <c r="F511" s="414"/>
    </row>
    <row r="512" ht="16.4" customHeight="1" spans="1:6">
      <c r="A512" s="1" t="s">
        <v>716</v>
      </c>
      <c r="B512" s="175"/>
      <c r="C512" s="176"/>
      <c r="D512" s="380" t="s">
        <v>723</v>
      </c>
      <c r="E512" s="415" t="e" cm="1">
        <f t="array" ref="E512">Fixed_Param(606,1)</f>
        <v>#NAME?</v>
      </c>
      <c r="F512" s="414"/>
    </row>
    <row r="513" ht="16.4" customHeight="1" spans="1:6">
      <c r="A513" s="1" t="s">
        <v>716</v>
      </c>
      <c r="B513" s="175"/>
      <c r="C513" s="176"/>
      <c r="D513" s="380" t="s">
        <v>724</v>
      </c>
      <c r="E513" s="415" t="e" cm="1">
        <f t="array" ref="E513">Fixed_Param(607,1)</f>
        <v>#NAME?</v>
      </c>
      <c r="F513" s="414"/>
    </row>
    <row r="514" ht="16.4" customHeight="1" spans="1:6">
      <c r="A514" s="1" t="s">
        <v>716</v>
      </c>
      <c r="B514" s="175"/>
      <c r="C514" s="176"/>
      <c r="D514" s="380" t="s">
        <v>725</v>
      </c>
      <c r="E514" s="415" t="e" cm="1">
        <f t="array" ref="E514">Fixed_Param(608,1)</f>
        <v>#NAME?</v>
      </c>
      <c r="F514" s="414"/>
    </row>
    <row r="515" ht="16.4" customHeight="1" spans="1:6">
      <c r="A515" s="1" t="s">
        <v>716</v>
      </c>
      <c r="B515" s="175"/>
      <c r="C515" s="176"/>
      <c r="D515" s="380" t="s">
        <v>726</v>
      </c>
      <c r="E515" s="415" t="e" cm="1">
        <f t="array" ref="E515">Fixed_Param(609,1)</f>
        <v>#NAME?</v>
      </c>
      <c r="F515" s="414"/>
    </row>
    <row r="516" ht="16.4" customHeight="1" spans="1:6">
      <c r="A516" s="1" t="s">
        <v>716</v>
      </c>
      <c r="B516" s="175"/>
      <c r="C516" s="176"/>
      <c r="D516" s="380" t="s">
        <v>727</v>
      </c>
      <c r="E516" s="415" t="e" cm="1">
        <f t="array" ref="E516">Fixed_Param(610,1)</f>
        <v>#NAME?</v>
      </c>
      <c r="F516" s="414"/>
    </row>
    <row r="517" ht="16.4" customHeight="1" spans="1:6">
      <c r="A517" s="1" t="s">
        <v>716</v>
      </c>
      <c r="B517" s="175"/>
      <c r="C517" s="176"/>
      <c r="D517" s="380" t="s">
        <v>728</v>
      </c>
      <c r="E517" s="415" t="e" cm="1">
        <f t="array" ref="E517">Fixed_Param(611,1)</f>
        <v>#NAME?</v>
      </c>
      <c r="F517" s="414"/>
    </row>
    <row r="518" ht="16.4" customHeight="1" spans="1:6">
      <c r="A518" s="1" t="s">
        <v>716</v>
      </c>
      <c r="B518" s="175"/>
      <c r="C518" s="176"/>
      <c r="D518" s="380" t="s">
        <v>729</v>
      </c>
      <c r="E518" s="415" t="e" cm="1">
        <f t="array" ref="E518">Fixed_Param(612,1)</f>
        <v>#NAME?</v>
      </c>
      <c r="F518" s="414"/>
    </row>
    <row r="519" ht="16.4" customHeight="1" spans="1:6">
      <c r="A519" s="1" t="s">
        <v>716</v>
      </c>
      <c r="B519" s="175"/>
      <c r="C519" s="176"/>
      <c r="D519" s="380" t="s">
        <v>730</v>
      </c>
      <c r="E519" s="415" t="e" cm="1">
        <f t="array" ref="E519">Fixed_Param(613,1)</f>
        <v>#NAME?</v>
      </c>
      <c r="F519" s="414"/>
    </row>
    <row r="520" ht="16.4" customHeight="1" spans="1:6">
      <c r="A520" s="1" t="s">
        <v>716</v>
      </c>
      <c r="B520" s="175"/>
      <c r="C520" s="176"/>
      <c r="D520" s="380" t="s">
        <v>731</v>
      </c>
      <c r="E520" s="415" t="e" cm="1">
        <f t="array" ref="E520">Fixed_Param(614,1)</f>
        <v>#NAME?</v>
      </c>
      <c r="F520" s="414"/>
    </row>
    <row r="521" ht="16.4" customHeight="1" spans="1:6">
      <c r="A521" s="1" t="s">
        <v>716</v>
      </c>
      <c r="B521" s="175"/>
      <c r="C521" s="176"/>
      <c r="D521" s="380" t="s">
        <v>732</v>
      </c>
      <c r="E521" s="415" t="e" cm="1">
        <f t="array" ref="E521">Fixed_Param(615,1)</f>
        <v>#NAME?</v>
      </c>
      <c r="F521" s="414"/>
    </row>
    <row r="522" ht="16.4" customHeight="1" spans="1:6">
      <c r="A522" s="1" t="s">
        <v>716</v>
      </c>
      <c r="B522" s="175"/>
      <c r="C522" s="176"/>
      <c r="D522" s="380" t="s">
        <v>733</v>
      </c>
      <c r="E522" s="415" t="e" cm="1">
        <f t="array" ref="E522">Fixed_Param(616,1)</f>
        <v>#NAME?</v>
      </c>
      <c r="F522" s="414"/>
    </row>
    <row r="523" ht="16.4" customHeight="1" spans="1:6">
      <c r="A523" s="1" t="s">
        <v>716</v>
      </c>
      <c r="B523" s="175"/>
      <c r="C523" s="176"/>
      <c r="D523" s="380" t="s">
        <v>734</v>
      </c>
      <c r="E523" s="415" t="e" cm="1">
        <f t="array" ref="E523">Fixed_Param(617,1)</f>
        <v>#NAME?</v>
      </c>
      <c r="F523" s="414"/>
    </row>
    <row r="524" ht="16.4" customHeight="1" spans="1:6">
      <c r="A524" s="1" t="s">
        <v>716</v>
      </c>
      <c r="B524" s="175"/>
      <c r="C524" s="176"/>
      <c r="D524" s="380" t="s">
        <v>735</v>
      </c>
      <c r="E524" s="415" t="e" cm="1">
        <f t="array" ref="E524">Fixed_Param(618,1)</f>
        <v>#NAME?</v>
      </c>
      <c r="F524" s="414"/>
    </row>
    <row r="525" ht="16.4" customHeight="1" spans="1:6">
      <c r="A525" s="1" t="s">
        <v>716</v>
      </c>
      <c r="B525" s="175"/>
      <c r="C525" s="176"/>
      <c r="D525" s="380" t="s">
        <v>736</v>
      </c>
      <c r="E525" s="415" t="e" cm="1">
        <f t="array" ref="E525">Fixed_Param(619,1)</f>
        <v>#NAME?</v>
      </c>
      <c r="F525" s="414"/>
    </row>
    <row r="526" ht="16.4" customHeight="1" spans="1:6">
      <c r="A526" s="1" t="s">
        <v>716</v>
      </c>
      <c r="B526" s="175"/>
      <c r="C526" s="176"/>
      <c r="D526" s="380" t="s">
        <v>737</v>
      </c>
      <c r="E526" s="415" t="e" cm="1">
        <f t="array" ref="E526">Fixed_Param(620,1)</f>
        <v>#NAME?</v>
      </c>
      <c r="F526" s="414"/>
    </row>
    <row r="527" ht="16.4" customHeight="1" spans="1:6">
      <c r="A527" s="1" t="s">
        <v>716</v>
      </c>
      <c r="B527" s="175"/>
      <c r="C527" s="176"/>
      <c r="D527" s="380" t="s">
        <v>738</v>
      </c>
      <c r="E527" s="415" t="e" cm="1">
        <f t="array" ref="E527">Fixed_Param(621,1)</f>
        <v>#NAME?</v>
      </c>
      <c r="F527" s="414"/>
    </row>
    <row r="528" ht="16.4" customHeight="1" spans="1:6">
      <c r="A528" s="1" t="s">
        <v>716</v>
      </c>
      <c r="B528" s="175"/>
      <c r="C528" s="176"/>
      <c r="D528" s="380" t="s">
        <v>739</v>
      </c>
      <c r="E528" s="415" t="e" cm="1">
        <f t="array" ref="E528">Fixed_Param(622,1)</f>
        <v>#NAME?</v>
      </c>
      <c r="F528" s="414"/>
    </row>
    <row r="529" ht="16.4" customHeight="1" spans="1:6">
      <c r="A529" s="1" t="s">
        <v>716</v>
      </c>
      <c r="B529" s="175"/>
      <c r="C529" s="176"/>
      <c r="D529" s="380" t="s">
        <v>740</v>
      </c>
      <c r="E529" s="415" t="e" cm="1">
        <f t="array" ref="E529">Fixed_Param(623,1)</f>
        <v>#NAME?</v>
      </c>
      <c r="F529" s="414"/>
    </row>
    <row r="530" ht="16.4" customHeight="1" spans="1:6">
      <c r="A530" s="1" t="s">
        <v>716</v>
      </c>
      <c r="B530" s="175"/>
      <c r="C530" s="176"/>
      <c r="D530" s="380" t="s">
        <v>741</v>
      </c>
      <c r="E530" s="415" t="e" cm="1">
        <f t="array" ref="E530">Fixed_Param(624,1)</f>
        <v>#NAME?</v>
      </c>
      <c r="F530" s="414"/>
    </row>
    <row r="531" ht="16.4" customHeight="1" spans="1:6">
      <c r="A531" s="1" t="s">
        <v>716</v>
      </c>
      <c r="B531" s="175"/>
      <c r="C531" s="176"/>
      <c r="D531" s="380" t="s">
        <v>742</v>
      </c>
      <c r="E531" s="415" t="e" cm="1">
        <f t="array" ref="E531">Fixed_Param(625,1)</f>
        <v>#NAME?</v>
      </c>
      <c r="F531" s="414"/>
    </row>
    <row r="532" ht="16.4" customHeight="1" spans="1:6">
      <c r="A532" s="1" t="s">
        <v>716</v>
      </c>
      <c r="B532" s="175"/>
      <c r="C532" s="176"/>
      <c r="D532" s="380" t="s">
        <v>743</v>
      </c>
      <c r="E532" s="415" t="e" cm="1">
        <f t="array" ref="E532">Fixed_Param(626,1)</f>
        <v>#NAME?</v>
      </c>
      <c r="F532" s="414"/>
    </row>
    <row r="533" ht="16.4" customHeight="1" spans="1:6">
      <c r="A533" s="1" t="s">
        <v>716</v>
      </c>
      <c r="B533" s="175"/>
      <c r="C533" s="176"/>
      <c r="D533" s="380" t="s">
        <v>744</v>
      </c>
      <c r="E533" s="415" t="e" cm="1">
        <f t="array" ref="E533">Fixed_Param(627,1)</f>
        <v>#NAME?</v>
      </c>
      <c r="F533" s="414"/>
    </row>
    <row r="534" ht="16.4" customHeight="1" spans="1:6">
      <c r="A534" s="1" t="s">
        <v>716</v>
      </c>
      <c r="B534" s="175"/>
      <c r="C534" s="176"/>
      <c r="D534" s="380" t="s">
        <v>745</v>
      </c>
      <c r="E534" s="415" t="e" cm="1">
        <f t="array" ref="E534">Fixed_Param(628,1)</f>
        <v>#NAME?</v>
      </c>
      <c r="F534" s="414"/>
    </row>
    <row r="535" ht="16.4" customHeight="1" spans="1:6">
      <c r="A535" s="1" t="s">
        <v>716</v>
      </c>
      <c r="B535" s="175"/>
      <c r="C535" s="176"/>
      <c r="D535" s="380" t="s">
        <v>746</v>
      </c>
      <c r="E535" s="415" t="e" cm="1">
        <f t="array" ref="E535">Fixed_Param(629,1)</f>
        <v>#NAME?</v>
      </c>
      <c r="F535" s="414"/>
    </row>
    <row r="536" ht="16.4" customHeight="1" spans="1:6">
      <c r="A536" s="1" t="s">
        <v>716</v>
      </c>
      <c r="B536" s="175"/>
      <c r="C536" s="176"/>
      <c r="D536" s="380" t="s">
        <v>747</v>
      </c>
      <c r="E536" s="415" t="e" cm="1">
        <f t="array" ref="E536">Fixed_Param(630,1)</f>
        <v>#NAME?</v>
      </c>
      <c r="F536" s="414"/>
    </row>
    <row r="537" ht="16.4" customHeight="1" spans="1:6">
      <c r="A537" s="1" t="s">
        <v>716</v>
      </c>
      <c r="B537" s="175"/>
      <c r="C537" s="176"/>
      <c r="D537" s="380" t="s">
        <v>748</v>
      </c>
      <c r="E537" s="415" t="e" cm="1">
        <f t="array" ref="E537">Fixed_Param(631,1)</f>
        <v>#NAME?</v>
      </c>
      <c r="F537" s="414"/>
    </row>
    <row r="538" ht="16.4" customHeight="1" spans="1:6">
      <c r="A538" s="1" t="s">
        <v>716</v>
      </c>
      <c r="B538" s="175"/>
      <c r="C538" s="176"/>
      <c r="D538" s="380" t="s">
        <v>749</v>
      </c>
      <c r="E538" s="415" t="e" cm="1">
        <f t="array" ref="E538">Fixed_Param(632,1)</f>
        <v>#NAME?</v>
      </c>
      <c r="F538" s="414"/>
    </row>
    <row r="539" ht="16.4" customHeight="1" spans="1:6">
      <c r="A539" s="1" t="s">
        <v>716</v>
      </c>
      <c r="B539" s="175"/>
      <c r="C539" s="176"/>
      <c r="D539" s="380" t="s">
        <v>750</v>
      </c>
      <c r="E539" s="415" t="e" cm="1">
        <f t="array" ref="E539">Fixed_Param(633,1)</f>
        <v>#NAME?</v>
      </c>
      <c r="F539" s="414"/>
    </row>
    <row r="540" ht="16.4" customHeight="1" spans="1:6">
      <c r="A540" s="1" t="s">
        <v>716</v>
      </c>
      <c r="B540" s="175"/>
      <c r="C540" s="176"/>
      <c r="D540" s="380" t="s">
        <v>751</v>
      </c>
      <c r="E540" s="415" t="e" cm="1">
        <f t="array" ref="E540">Fixed_Param(634,1)</f>
        <v>#NAME?</v>
      </c>
      <c r="F540" s="414"/>
    </row>
    <row r="541" ht="16.4" customHeight="1" spans="1:6">
      <c r="A541" s="1" t="s">
        <v>716</v>
      </c>
      <c r="B541" s="175"/>
      <c r="C541" s="176"/>
      <c r="D541" s="380" t="s">
        <v>752</v>
      </c>
      <c r="E541" s="415" t="e" cm="1">
        <f t="array" ref="E541">Fixed_Param(635,1)</f>
        <v>#NAME?</v>
      </c>
      <c r="F541" s="414"/>
    </row>
    <row r="542" ht="16.4" customHeight="1" spans="1:6">
      <c r="A542" s="1" t="s">
        <v>716</v>
      </c>
      <c r="B542" s="175"/>
      <c r="C542" s="176"/>
      <c r="D542" s="380" t="s">
        <v>753</v>
      </c>
      <c r="E542" s="415" t="e" cm="1">
        <f t="array" ref="E542">Fixed_Param(636,1)</f>
        <v>#NAME?</v>
      </c>
      <c r="F542" s="414"/>
    </row>
    <row r="543" ht="16.4" customHeight="1" spans="1:6">
      <c r="A543" s="1" t="s">
        <v>716</v>
      </c>
      <c r="B543" s="175"/>
      <c r="C543" s="176"/>
      <c r="D543" s="380" t="s">
        <v>754</v>
      </c>
      <c r="E543" s="415" t="e" cm="1">
        <f t="array" ref="E543">Fixed_Param(637,1)</f>
        <v>#NAME?</v>
      </c>
      <c r="F543" s="414"/>
    </row>
    <row r="544" ht="16.4" customHeight="1" spans="1:6">
      <c r="A544" s="1" t="s">
        <v>716</v>
      </c>
      <c r="B544" s="175"/>
      <c r="C544" s="176"/>
      <c r="D544" s="380" t="s">
        <v>755</v>
      </c>
      <c r="E544" s="415" t="e" cm="1">
        <f t="array" ref="E544">Fixed_Param(638,1)</f>
        <v>#NAME?</v>
      </c>
      <c r="F544" s="414"/>
    </row>
    <row r="545" ht="16.4" customHeight="1" spans="1:7">
      <c r="A545" s="1" t="s">
        <v>716</v>
      </c>
      <c r="B545" s="175"/>
      <c r="C545" s="176"/>
      <c r="D545" s="380" t="s">
        <v>756</v>
      </c>
      <c r="E545" s="415" t="e" cm="1">
        <f t="array" ref="E545">Fixed_Param(639,1)</f>
        <v>#NAME?</v>
      </c>
      <c r="F545" s="414"/>
    </row>
    <row r="546" ht="16.4" customHeight="1" spans="1:7">
      <c r="A546" s="1" t="s">
        <v>716</v>
      </c>
      <c r="B546" s="175"/>
      <c r="C546" s="176"/>
      <c r="D546" s="380" t="s">
        <v>757</v>
      </c>
      <c r="E546" s="415" t="e" cm="1">
        <f t="array" ref="E546">Fixed_Param(640,1)</f>
        <v>#NAME?</v>
      </c>
      <c r="F546" s="414"/>
      <c r="G546" s="336"/>
    </row>
    <row r="547" ht="16.4" customHeight="1" spans="1:7">
      <c r="A547" s="1" t="s">
        <v>716</v>
      </c>
      <c r="B547" s="175"/>
      <c r="C547" s="176"/>
      <c r="D547" s="380" t="s">
        <v>758</v>
      </c>
      <c r="E547" s="415" t="e" cm="1">
        <f t="array" ref="E547">Fixed_Param(641,1)</f>
        <v>#NAME?</v>
      </c>
      <c r="F547" s="414"/>
      <c r="G547" s="336"/>
    </row>
    <row r="548" ht="16.4" customHeight="1" spans="1:7">
      <c r="A548" s="1" t="s">
        <v>716</v>
      </c>
      <c r="B548" s="182"/>
      <c r="C548" s="183"/>
      <c r="D548" s="333" t="s">
        <v>759</v>
      </c>
      <c r="E548" s="187" t="e" cm="1">
        <f t="array" ref="E548">Fixed_Param(642,1)</f>
        <v>#NAME?</v>
      </c>
      <c r="F548" s="416"/>
      <c r="G548" s="336"/>
    </row>
    <row r="549" ht="16.4" customHeight="1" spans="1:7">
      <c r="B549" s="196"/>
      <c r="C549" s="108"/>
      <c r="D549" s="335"/>
      <c r="E549" s="417"/>
      <c r="F549" s="418"/>
      <c r="G549" s="336"/>
    </row>
    <row r="550" ht="16.4" customHeight="1" spans="1:7">
      <c r="B550" s="196"/>
      <c r="C550" s="108"/>
      <c r="D550" s="335"/>
      <c r="E550" s="336"/>
      <c r="F550" s="53" t="s">
        <v>24</v>
      </c>
      <c r="G550" s="323"/>
    </row>
    <row r="551" ht="16.4" customHeight="1" spans="1:7">
      <c r="A551" s="1" t="s">
        <v>760</v>
      </c>
      <c r="B551" s="190" t="s">
        <v>761</v>
      </c>
      <c r="C551" s="163"/>
      <c r="D551" s="383"/>
      <c r="E551" s="353"/>
      <c r="F551" s="419" t="s">
        <v>762</v>
      </c>
      <c r="G551" s="318" t="e" cm="1">
        <f t="array" ref="G551">IF(ID(78)="Used",HLOOKUP(G552,'[1]INAT Train type STM'!F16:M23,8,FALSE),0)</f>
        <v>#NAME?</v>
      </c>
    </row>
    <row r="552" ht="16.4" customHeight="1" spans="1:7">
      <c r="A552" s="371" t="s">
        <v>760</v>
      </c>
      <c r="B552" s="351"/>
      <c r="C552" s="183"/>
      <c r="D552" s="50" t="s">
        <v>763</v>
      </c>
      <c r="E552" s="420" t="e" cm="1">
        <f t="array" ref="E552">IF(ID(78)="Used","TRUE","FALSE")</f>
        <v>#NAME?</v>
      </c>
      <c r="F552" s="421" t="s">
        <v>764</v>
      </c>
      <c r="G552" s="329" t="e" cm="1">
        <f t="array" ref="G552">IF(ID(78)="Used",28,0)</f>
        <v>#NAME?</v>
      </c>
    </row>
    <row r="553" ht="16.4" customHeight="1" spans="1:7">
      <c r="A553" s="1" t="s">
        <v>765</v>
      </c>
      <c r="B553" s="189"/>
      <c r="C553" s="108"/>
      <c r="D553" s="189"/>
      <c r="E553" s="417"/>
      <c r="F553" s="417"/>
      <c r="G553" s="417"/>
    </row>
    <row r="554" ht="16.4" customHeight="1" spans="1:7">
      <c r="B554" s="189"/>
      <c r="C554" s="108"/>
      <c r="D554" s="189"/>
      <c r="E554" s="417"/>
      <c r="F554" s="418"/>
      <c r="G554" s="336"/>
    </row>
    <row r="555" ht="16.4" customHeight="1" spans="1:7">
      <c r="A555" s="1" t="s">
        <v>247</v>
      </c>
      <c r="B555" s="190" t="s">
        <v>766</v>
      </c>
      <c r="C555" s="163"/>
      <c r="D555" s="383"/>
      <c r="E555" s="422"/>
      <c r="F555" s="418"/>
      <c r="G555" s="336"/>
    </row>
    <row r="556" ht="16.4" customHeight="1" spans="1:7">
      <c r="A556" s="1" t="s">
        <v>247</v>
      </c>
      <c r="B556" s="346"/>
      <c r="C556" s="176"/>
      <c r="D556" s="43" t="s">
        <v>767</v>
      </c>
      <c r="E556" s="423" t="e" cm="1">
        <f t="array" ref="E556">IF(ID(7800)="Used",HLOOKUP(E558,'[1]INAT Train type STM'!F16:M23,8,FALSE),0)</f>
        <v>#NAME?</v>
      </c>
      <c r="F556" s="418"/>
      <c r="G556" s="336"/>
    </row>
    <row r="557" ht="16.4" customHeight="1" spans="1:7">
      <c r="A557" s="1" t="s">
        <v>247</v>
      </c>
      <c r="B557" s="346"/>
      <c r="C557" s="176"/>
      <c r="D557" s="43" t="s">
        <v>768</v>
      </c>
      <c r="E557" s="423" t="e" cm="1">
        <f t="array" ref="E557">IF(ID(7800)="Used","TRUE","FALSE")</f>
        <v>#NAME?</v>
      </c>
      <c r="F557" s="418"/>
      <c r="G557" s="336"/>
    </row>
    <row r="558" ht="16.4" customHeight="1" spans="1:7">
      <c r="A558" s="149" t="s">
        <v>769</v>
      </c>
      <c r="B558" s="351"/>
      <c r="C558" s="183"/>
      <c r="D558" s="50" t="s">
        <v>770</v>
      </c>
      <c r="E558" s="424" t="e" cm="1">
        <f t="array" ref="E558">IF(ID(7800)="Used",32,0)</f>
        <v>#NAME?</v>
      </c>
      <c r="F558" s="418"/>
      <c r="G558" s="336"/>
    </row>
    <row r="559" ht="16.4" customHeight="1" spans="1:7">
      <c r="B559" s="189"/>
      <c r="C559" s="108"/>
      <c r="D559" s="189"/>
      <c r="E559" s="417"/>
      <c r="F559" s="418"/>
      <c r="G559" s="336"/>
    </row>
    <row r="560" ht="16.4" customHeight="1" spans="1:7">
      <c r="A560" s="1" t="s">
        <v>247</v>
      </c>
      <c r="B560" s="190" t="s">
        <v>771</v>
      </c>
      <c r="C560" s="163"/>
      <c r="D560" s="383"/>
      <c r="E560" s="422"/>
      <c r="F560" s="418"/>
      <c r="G560" s="336"/>
    </row>
    <row r="561" ht="16.4" customHeight="1" spans="1:8">
      <c r="A561" s="1" t="s">
        <v>247</v>
      </c>
      <c r="B561" s="346"/>
      <c r="C561" s="176"/>
      <c r="D561" s="425" t="s">
        <v>772</v>
      </c>
      <c r="E561" s="423" t="e" cm="1">
        <f t="array" ref="E561">IF(ID(7801)="Used","TRUE","FALSE")</f>
        <v>#NAME?</v>
      </c>
      <c r="F561" s="418"/>
      <c r="G561" s="336"/>
    </row>
    <row r="562" ht="16.4" customHeight="1" spans="1:8">
      <c r="A562" s="1" t="s">
        <v>769</v>
      </c>
      <c r="B562" s="351"/>
      <c r="C562" s="183"/>
      <c r="D562" s="426" t="s">
        <v>773</v>
      </c>
      <c r="E562" s="424" t="e" cm="1">
        <f t="array" ref="E562">IF(ID(7801)="Used",18,0)</f>
        <v>#NAME?</v>
      </c>
      <c r="F562" s="418"/>
      <c r="G562" s="336"/>
    </row>
    <row r="563" ht="16.4" customHeight="1" spans="1:8">
      <c r="B563" s="189"/>
      <c r="C563" s="108"/>
      <c r="D563" s="189"/>
      <c r="E563" s="417"/>
      <c r="F563" s="418"/>
      <c r="G563" s="336"/>
    </row>
    <row r="564" ht="16.4" customHeight="1" spans="1:8">
      <c r="A564" s="1" t="s">
        <v>774</v>
      </c>
      <c r="B564" s="190" t="s">
        <v>775</v>
      </c>
      <c r="C564" s="163"/>
      <c r="D564" s="164"/>
      <c r="E564" s="427"/>
      <c r="G564" s="428"/>
    </row>
    <row r="565" ht="16.4" customHeight="1" spans="1:8">
      <c r="A565" s="1" t="s">
        <v>774</v>
      </c>
      <c r="B565" s="346"/>
      <c r="C565" s="176"/>
      <c r="D565" s="43" t="s">
        <v>776</v>
      </c>
      <c r="E565" s="423" t="e" cm="1">
        <f t="array" ref="E565">IF(ID(93)="Used","TRUE","FALSE")</f>
        <v>#NAME?</v>
      </c>
      <c r="F565" s="429" t="s">
        <v>24</v>
      </c>
      <c r="G565" s="430"/>
    </row>
    <row r="566" ht="16.4" customHeight="1" spans="1:8">
      <c r="A566" s="1" t="s">
        <v>774</v>
      </c>
      <c r="B566" s="346"/>
      <c r="C566" s="176"/>
      <c r="D566" s="43" t="s">
        <v>777</v>
      </c>
      <c r="E566" s="78" t="e" cm="1">
        <f t="array" ref="E566">Fixed_Param(124,1)</f>
        <v>#NAME?</v>
      </c>
      <c r="F566" s="431" t="s">
        <v>778</v>
      </c>
      <c r="G566" s="318" t="e" cm="1">
        <f t="array" ref="G566">IF(ID(93)="Used",HLOOKUP('Train type (2)'!OTBL_nid_STM,EVCB_INAT_TT_Spec_STM_Mgt_Config,8,FALSE),0)</f>
        <v>#NAME?</v>
      </c>
    </row>
    <row r="567" ht="16.4" customHeight="1" spans="1:8">
      <c r="A567" s="1" t="s">
        <v>774</v>
      </c>
      <c r="B567" s="351"/>
      <c r="C567" s="183"/>
      <c r="D567" s="50" t="s">
        <v>779</v>
      </c>
      <c r="E567" s="340" t="e" cm="1">
        <f t="array" ref="E567">Fixed_Param(125,1)</f>
        <v>#NAME?</v>
      </c>
      <c r="F567" s="432" t="s">
        <v>780</v>
      </c>
      <c r="G567" s="329" t="e" cm="1">
        <f t="array" ref="G567">IF(ID(93)="Used",7,0)</f>
        <v>#NAME?</v>
      </c>
    </row>
    <row r="568" ht="16.4" customHeight="1" spans="1:8">
      <c r="B568" s="189"/>
      <c r="C568" s="108"/>
      <c r="D568" s="189"/>
      <c r="E568" s="433"/>
      <c r="G568" s="341"/>
    </row>
    <row r="569" ht="16.4" customHeight="1" spans="1:8">
      <c r="A569" s="1" t="s">
        <v>774</v>
      </c>
      <c r="B569" s="190" t="s">
        <v>781</v>
      </c>
      <c r="C569" s="163"/>
      <c r="D569" s="383"/>
      <c r="E569" s="350"/>
      <c r="F569" s="16"/>
    </row>
    <row r="570" ht="16.4" customHeight="1" spans="1:8">
      <c r="A570" s="1" t="s">
        <v>774</v>
      </c>
      <c r="B570" s="351"/>
      <c r="C570" s="183"/>
      <c r="D570" s="50" t="s">
        <v>782</v>
      </c>
      <c r="E570" s="349" t="e" cm="1">
        <f t="array" ref="E570">IF(OR(ID(78)="Used",ID(93)="Used",ID(75)="Used"),"ACTIVATED","NOT_ACTIVATED")</f>
        <v>#NAME?</v>
      </c>
      <c r="F570" s="16"/>
      <c r="G570" s="16"/>
      <c r="H570" s="16"/>
    </row>
    <row r="571" ht="16.4" customHeight="1" spans="1:8">
      <c r="B571" s="189"/>
      <c r="C571" s="108"/>
      <c r="D571" s="189"/>
      <c r="E571" s="433"/>
      <c r="G571" s="16"/>
      <c r="H571" s="16"/>
    </row>
    <row r="572" ht="16.4" customHeight="1" spans="1:8">
      <c r="A572" s="1" t="s">
        <v>406</v>
      </c>
      <c r="B572" s="315" t="s">
        <v>783</v>
      </c>
      <c r="C572" s="163"/>
      <c r="D572" s="332"/>
      <c r="E572" s="434"/>
    </row>
    <row r="573" ht="16.4" customHeight="1" spans="1:8">
      <c r="A573" s="1" t="s">
        <v>406</v>
      </c>
      <c r="B573" s="435"/>
      <c r="C573" s="436"/>
      <c r="D573" s="437" t="s">
        <v>784</v>
      </c>
      <c r="E573" s="242" t="e" cm="1">
        <f t="array" ref="E573">IF(AND(ID(75)="Used",ID(79)="HL"),"TIU",IF(AND(ID(75)="Used",ID(79)="HPTS"),"CORE","NONE"))</f>
        <v>#NAME?</v>
      </c>
    </row>
    <row r="574" ht="16.4" customHeight="1" spans="1:8">
      <c r="A574" s="1" t="s">
        <v>785</v>
      </c>
      <c r="B574" s="438"/>
      <c r="C574" s="176"/>
      <c r="D574" s="361" t="s">
        <v>786</v>
      </c>
      <c r="E574" s="84" t="e" cm="1">
        <f t="array" ref="E574">IF(AND(ID(75)="Used",ID(79)="HL"),"TRUE","FALSE")</f>
        <v>#NAME?</v>
      </c>
    </row>
    <row r="575" ht="16.4" customHeight="1" spans="1:8">
      <c r="A575" s="1" t="s">
        <v>785</v>
      </c>
      <c r="B575" s="438"/>
      <c r="C575" s="176"/>
      <c r="D575" s="361" t="s">
        <v>787</v>
      </c>
      <c r="E575" s="84" t="e" cm="1">
        <f t="array" ref="E575">IF(AND(ID(75)="Used",ID(79)="HPTS"),"TRUE","FALSE")</f>
        <v>#NAME?</v>
      </c>
    </row>
    <row r="576" ht="16.4" customHeight="1" spans="1:8">
      <c r="B576" s="439" t="s">
        <v>788</v>
      </c>
      <c r="C576" s="193"/>
      <c r="D576" s="361"/>
      <c r="E576" s="440"/>
    </row>
    <row r="577" ht="16.4" customHeight="1" spans="1:6">
      <c r="A577" s="1" t="s">
        <v>785</v>
      </c>
      <c r="B577" s="439"/>
      <c r="C577" s="193"/>
      <c r="D577" s="16" t="s">
        <v>789</v>
      </c>
      <c r="E577" s="84" t="e">
        <f>E574</f>
        <v>#NAME?</v>
      </c>
    </row>
    <row r="578" ht="16.4" customHeight="1" spans="1:6">
      <c r="A578" s="1" t="s">
        <v>406</v>
      </c>
      <c r="B578" s="182"/>
      <c r="C578" s="183"/>
      <c r="D578" s="333" t="s">
        <v>790</v>
      </c>
      <c r="E578" s="349" t="e" cm="1">
        <f t="array" ref="E578">IF(AND(ID(75)="Used",ID(79)="HL"),ID(76),15)</f>
        <v>#NAME?</v>
      </c>
    </row>
    <row r="579" ht="16.4" customHeight="1" spans="1:6">
      <c r="B579" s="196"/>
      <c r="C579" s="108"/>
      <c r="D579" s="335"/>
      <c r="E579" s="441"/>
    </row>
    <row r="580" ht="16.4" customHeight="1" spans="1:6">
      <c r="A580" s="1" t="s">
        <v>494</v>
      </c>
      <c r="B580" s="315" t="s">
        <v>791</v>
      </c>
      <c r="C580" s="442" t="s">
        <v>24</v>
      </c>
      <c r="D580" s="332" t="s">
        <v>792</v>
      </c>
      <c r="E580" s="443" t="s">
        <v>793</v>
      </c>
    </row>
    <row r="581" ht="16.4" customHeight="1" spans="1:6">
      <c r="A581" s="1" t="s">
        <v>494</v>
      </c>
      <c r="B581" s="182"/>
      <c r="C581" s="183"/>
      <c r="D581" s="333" t="s">
        <v>794</v>
      </c>
      <c r="E581" s="226" t="e" cm="1">
        <f t="array" ref="E581">Fixed_Param(105,1)</f>
        <v>#NAME?</v>
      </c>
      <c r="F581" s="16"/>
    </row>
    <row r="582" ht="16.4" customHeight="1" spans="1:6">
      <c r="B582" s="196"/>
      <c r="C582" s="108"/>
      <c r="D582" s="335"/>
      <c r="E582" s="444"/>
    </row>
    <row r="583" ht="16.4" customHeight="1" spans="1:6">
      <c r="B583" s="196"/>
      <c r="C583" s="108"/>
      <c r="D583" s="335"/>
      <c r="E583" s="336"/>
    </row>
    <row r="584" ht="16.4" customHeight="1" spans="1:6">
      <c r="A584" s="1" t="s">
        <v>13</v>
      </c>
      <c r="B584" s="19" t="s">
        <v>795</v>
      </c>
      <c r="E584" s="336"/>
    </row>
    <row r="585" ht="16.4" customHeight="1" spans="1:6">
      <c r="B585" s="196"/>
      <c r="C585" s="108"/>
      <c r="D585" s="335"/>
      <c r="E585" s="336"/>
    </row>
    <row r="586" ht="16.4" customHeight="1" spans="1:6">
      <c r="A586" s="1" t="s">
        <v>428</v>
      </c>
      <c r="B586" s="190" t="s">
        <v>796</v>
      </c>
      <c r="C586" s="164"/>
      <c r="D586" s="164"/>
      <c r="E586" s="68"/>
    </row>
    <row r="587" ht="16.4" customHeight="1" spans="1:6">
      <c r="A587" s="1" t="s">
        <v>797</v>
      </c>
      <c r="B587" s="346" t="s">
        <v>798</v>
      </c>
      <c r="C587" s="176">
        <v>5170010</v>
      </c>
      <c r="D587" s="43" t="s">
        <v>799</v>
      </c>
      <c r="E587" s="445">
        <v>9600</v>
      </c>
    </row>
    <row r="588" ht="16.4" customHeight="1" spans="1:6">
      <c r="A588" s="1" t="s">
        <v>797</v>
      </c>
      <c r="B588" s="351" t="s">
        <v>800</v>
      </c>
      <c r="C588" s="183">
        <v>5170020</v>
      </c>
      <c r="D588" s="50" t="s">
        <v>801</v>
      </c>
      <c r="E588" s="446">
        <v>9600</v>
      </c>
    </row>
    <row r="589" ht="16.4" customHeight="1" spans="1:6">
      <c r="A589" s="1" t="s">
        <v>360</v>
      </c>
      <c r="B589" s="189"/>
      <c r="C589" s="108"/>
      <c r="D589" s="189"/>
      <c r="E589" s="447"/>
    </row>
    <row r="590" ht="16.4" customHeight="1" spans="1:6">
      <c r="A590" s="1" t="s">
        <v>428</v>
      </c>
      <c r="B590" s="190" t="s">
        <v>802</v>
      </c>
      <c r="C590" s="164"/>
      <c r="D590" s="164"/>
      <c r="E590" s="72"/>
    </row>
    <row r="591" ht="16.4" customHeight="1" spans="1:6">
      <c r="A591" s="1" t="s">
        <v>361</v>
      </c>
      <c r="B591" s="346"/>
      <c r="C591" s="176"/>
      <c r="D591" s="132" t="s">
        <v>803</v>
      </c>
      <c r="E591" s="448" t="e" cm="1">
        <f t="array" ref="E591">Fixed_Param(403,1)</f>
        <v>#NAME?</v>
      </c>
    </row>
    <row r="592" ht="16.4" customHeight="1" spans="1:6">
      <c r="A592" s="1" t="s">
        <v>361</v>
      </c>
      <c r="B592" s="346"/>
      <c r="C592" s="176"/>
      <c r="D592" s="43" t="s">
        <v>804</v>
      </c>
      <c r="E592" s="448" t="e" cm="1">
        <f t="array" ref="E592">Fixed_Param(404,1)</f>
        <v>#NAME?</v>
      </c>
    </row>
    <row r="593" ht="16.4" customHeight="1" spans="1:69">
      <c r="A593" s="1" t="s">
        <v>361</v>
      </c>
      <c r="B593" s="351"/>
      <c r="C593" s="183"/>
      <c r="D593" s="136" t="s">
        <v>805</v>
      </c>
      <c r="E593" s="449" t="e" cm="1">
        <f t="array" ref="E593">Fixed_Param(405,1)</f>
        <v>#NAME?</v>
      </c>
    </row>
    <row r="594" ht="16.4" customHeight="1" spans="1:69">
      <c r="A594" s="1" t="s">
        <v>489</v>
      </c>
      <c r="E594" s="341"/>
    </row>
    <row r="595" ht="16.4" customHeight="1"/>
    <row r="596" ht="16.4" customHeight="1"/>
    <row r="597" ht="16.4" customHeight="1" spans="1:69">
      <c r="A597" s="1" t="s">
        <v>13</v>
      </c>
      <c r="C597" s="450" t="s">
        <v>806</v>
      </c>
    </row>
    <row r="598" ht="16.4" customHeight="1" spans="1:69">
      <c r="C598" s="3" t="s">
        <v>807</v>
      </c>
    </row>
    <row r="599" ht="16.4" customHeight="1" spans="1:69">
      <c r="C599" s="3" t="s">
        <v>808</v>
      </c>
    </row>
    <row r="600" ht="16.4" customHeight="1"/>
    <row r="601" ht="16.4" customHeight="1" spans="1:69">
      <c r="A601" s="1" t="s">
        <v>13</v>
      </c>
      <c r="B601" s="57" t="s">
        <v>809</v>
      </c>
    </row>
    <row r="602" ht="16.4" customHeight="1" spans="1:69">
      <c r="B602" s="57"/>
    </row>
    <row r="603" ht="16.4" customHeight="1" spans="1:69">
      <c r="A603" s="1" t="s">
        <v>75</v>
      </c>
      <c r="B603" s="190" t="s">
        <v>810</v>
      </c>
      <c r="C603" s="451"/>
      <c r="D603" s="452"/>
      <c r="E603" s="453"/>
    </row>
    <row r="604" ht="16.4" customHeight="1" spans="1:69">
      <c r="A604" s="1" t="s">
        <v>494</v>
      </c>
      <c r="B604" s="41"/>
      <c r="C604" s="42">
        <v>5200010</v>
      </c>
      <c r="D604" s="87" t="s">
        <v>811</v>
      </c>
      <c r="E604" s="392" t="e" cm="1">
        <f t="array" ref="E604">Fixed_Param(65,1)</f>
        <v>#NAME?</v>
      </c>
    </row>
    <row r="605" ht="16.4" customHeight="1" spans="1:69">
      <c r="A605" s="1" t="s">
        <v>570</v>
      </c>
      <c r="B605" s="48"/>
      <c r="C605" s="59"/>
      <c r="D605" s="96" t="s">
        <v>812</v>
      </c>
      <c r="E605" s="349" t="e" cm="1">
        <f t="array" ref="E605">IF(OR(ID(649)="Used",ID(643)="Used"),"TRUE","FALSE")</f>
        <v>#NAME?</v>
      </c>
    </row>
    <row r="606" ht="16.4" customHeight="1" spans="1:69">
      <c r="E606" s="454"/>
      <c r="F606" s="428"/>
      <c r="G606" s="428"/>
      <c r="H606" s="428"/>
      <c r="I606" s="428"/>
      <c r="J606" s="428"/>
      <c r="K606" s="428"/>
      <c r="L606" s="428"/>
      <c r="M606" s="428"/>
      <c r="N606" s="428"/>
      <c r="O606" s="428"/>
      <c r="P606" s="428"/>
      <c r="Q606" s="428"/>
      <c r="R606" s="428"/>
      <c r="S606" s="428"/>
      <c r="T606" s="428"/>
      <c r="U606" s="428"/>
      <c r="V606" s="428"/>
      <c r="W606" s="428"/>
      <c r="X606" s="428"/>
      <c r="Y606" s="428"/>
      <c r="Z606" s="428"/>
      <c r="AA606" s="428"/>
      <c r="AB606" s="428"/>
      <c r="AC606" s="428"/>
      <c r="AD606" s="428"/>
      <c r="AE606" s="428"/>
      <c r="AF606" s="428"/>
      <c r="AG606" s="428"/>
      <c r="AH606" s="428"/>
      <c r="AI606" s="428"/>
      <c r="AJ606" s="428"/>
      <c r="AK606" s="428"/>
      <c r="AL606" s="428"/>
      <c r="AM606" s="428"/>
      <c r="AN606" s="428"/>
      <c r="AO606" s="428"/>
      <c r="AP606" s="428"/>
      <c r="AQ606" s="428"/>
      <c r="AR606" s="428"/>
      <c r="AS606" s="428"/>
      <c r="AT606" s="428"/>
      <c r="AU606" s="428"/>
      <c r="AV606" s="428"/>
      <c r="AW606" s="428"/>
      <c r="AX606" s="428"/>
      <c r="AY606" s="428"/>
      <c r="AZ606" s="428"/>
      <c r="BA606" s="428"/>
      <c r="BB606" s="428"/>
      <c r="BC606" s="428"/>
      <c r="BD606" s="428"/>
      <c r="BE606" s="428"/>
      <c r="BF606" s="428"/>
      <c r="BG606" s="428"/>
      <c r="BH606" s="428"/>
      <c r="BI606" s="428"/>
      <c r="BJ606" s="428"/>
      <c r="BK606" s="428"/>
      <c r="BL606" s="428"/>
      <c r="BM606" s="428"/>
      <c r="BN606" s="428"/>
      <c r="BO606" s="428"/>
      <c r="BP606" s="428"/>
      <c r="BQ606" s="428"/>
    </row>
    <row r="607" ht="16.4" customHeight="1" spans="1:69">
      <c r="A607" s="1" t="s">
        <v>254</v>
      </c>
      <c r="B607" s="190" t="s">
        <v>813</v>
      </c>
      <c r="C607" s="455"/>
      <c r="D607" s="456" t="s">
        <v>237</v>
      </c>
      <c r="E607" s="457"/>
      <c r="F607" s="29">
        <v>1</v>
      </c>
      <c r="G607" s="29">
        <v>2</v>
      </c>
      <c r="H607" s="29">
        <v>3</v>
      </c>
      <c r="I607" s="29">
        <v>4</v>
      </c>
      <c r="J607" s="29">
        <v>5</v>
      </c>
      <c r="K607" s="29">
        <v>6</v>
      </c>
      <c r="L607" s="29">
        <v>7</v>
      </c>
      <c r="M607" s="29">
        <v>8</v>
      </c>
      <c r="N607" s="29">
        <v>9</v>
      </c>
      <c r="O607" s="29">
        <v>10</v>
      </c>
      <c r="P607" s="29">
        <v>11</v>
      </c>
      <c r="Q607" s="29">
        <v>12</v>
      </c>
      <c r="R607" s="29">
        <v>13</v>
      </c>
      <c r="S607" s="29">
        <v>14</v>
      </c>
      <c r="T607" s="29">
        <v>15</v>
      </c>
      <c r="U607" s="29">
        <v>16</v>
      </c>
      <c r="V607" s="29">
        <v>17</v>
      </c>
      <c r="W607" s="29">
        <v>18</v>
      </c>
      <c r="X607" s="29">
        <v>19</v>
      </c>
      <c r="Y607" s="29">
        <v>20</v>
      </c>
      <c r="Z607" s="29">
        <v>21</v>
      </c>
      <c r="AA607" s="29">
        <v>22</v>
      </c>
      <c r="AB607" s="29">
        <v>23</v>
      </c>
      <c r="AC607" s="29">
        <v>24</v>
      </c>
      <c r="AD607" s="29">
        <v>25</v>
      </c>
      <c r="AE607" s="29">
        <v>26</v>
      </c>
      <c r="AF607" s="29">
        <v>27</v>
      </c>
      <c r="AG607" s="29">
        <v>28</v>
      </c>
      <c r="AH607" s="29">
        <v>29</v>
      </c>
      <c r="AI607" s="29">
        <v>30</v>
      </c>
      <c r="AJ607" s="29">
        <v>31</v>
      </c>
      <c r="AK607" s="29">
        <v>32</v>
      </c>
      <c r="AL607" s="29">
        <v>33</v>
      </c>
      <c r="AM607" s="29">
        <v>34</v>
      </c>
      <c r="AN607" s="29">
        <v>35</v>
      </c>
      <c r="AO607" s="29">
        <v>36</v>
      </c>
      <c r="AP607" s="29">
        <v>37</v>
      </c>
      <c r="AQ607" s="29">
        <v>38</v>
      </c>
      <c r="AR607" s="29">
        <v>39</v>
      </c>
      <c r="AS607" s="29">
        <v>40</v>
      </c>
      <c r="AT607" s="29">
        <v>41</v>
      </c>
      <c r="AU607" s="29">
        <v>42</v>
      </c>
      <c r="AV607" s="29">
        <v>43</v>
      </c>
      <c r="AW607" s="29">
        <v>44</v>
      </c>
      <c r="AX607" s="29">
        <v>45</v>
      </c>
      <c r="AY607" s="29">
        <v>46</v>
      </c>
      <c r="AZ607" s="29">
        <v>47</v>
      </c>
      <c r="BA607" s="29">
        <v>48</v>
      </c>
      <c r="BB607" s="29">
        <v>49</v>
      </c>
      <c r="BC607" s="29">
        <v>50</v>
      </c>
      <c r="BD607" s="29">
        <v>51</v>
      </c>
      <c r="BE607" s="29">
        <v>52</v>
      </c>
      <c r="BF607" s="29">
        <v>53</v>
      </c>
      <c r="BG607" s="29">
        <v>54</v>
      </c>
      <c r="BH607" s="29">
        <v>55</v>
      </c>
      <c r="BI607" s="29">
        <v>56</v>
      </c>
      <c r="BJ607" s="29">
        <v>57</v>
      </c>
      <c r="BK607" s="29">
        <v>58</v>
      </c>
      <c r="BL607" s="29">
        <v>59</v>
      </c>
      <c r="BM607" s="29">
        <v>60</v>
      </c>
      <c r="BN607" s="29">
        <v>61</v>
      </c>
      <c r="BO607" s="29">
        <v>62</v>
      </c>
      <c r="BP607" s="29">
        <v>63</v>
      </c>
      <c r="BQ607" s="36">
        <v>64</v>
      </c>
    </row>
    <row r="608" ht="16.4" customHeight="1" spans="1:69">
      <c r="A608" s="1" t="s">
        <v>254</v>
      </c>
      <c r="B608" s="41" t="s">
        <v>814</v>
      </c>
      <c r="C608" s="42"/>
      <c r="D608" s="87" t="s">
        <v>815</v>
      </c>
      <c r="E608" s="235" t="e" cm="1">
        <f t="array" ref="E608">IF(dc(101)="TRUE",8,0)</f>
        <v>#NAME?</v>
      </c>
      <c r="F608" s="458"/>
      <c r="G608" s="458"/>
      <c r="H608" s="458"/>
      <c r="I608" s="458"/>
      <c r="J608" s="458"/>
      <c r="K608" s="458"/>
      <c r="L608" s="458"/>
      <c r="M608" s="458"/>
      <c r="N608" s="458"/>
      <c r="O608" s="458"/>
      <c r="P608" s="458"/>
      <c r="Q608" s="458"/>
      <c r="R608" s="458"/>
      <c r="S608" s="458"/>
      <c r="T608" s="458"/>
      <c r="U608" s="458"/>
      <c r="V608" s="458"/>
      <c r="W608" s="458"/>
      <c r="X608" s="458"/>
      <c r="Y608" s="458"/>
      <c r="Z608" s="458"/>
      <c r="AA608" s="458"/>
      <c r="AB608" s="458"/>
      <c r="AC608" s="458"/>
      <c r="AD608" s="458"/>
      <c r="AE608" s="458"/>
      <c r="AF608" s="458"/>
      <c r="AG608" s="458"/>
      <c r="AH608" s="458"/>
      <c r="AI608" s="458"/>
      <c r="AJ608" s="458"/>
      <c r="AK608" s="458"/>
      <c r="AL608" s="458"/>
      <c r="AM608" s="458"/>
      <c r="AN608" s="458"/>
      <c r="AO608" s="458"/>
      <c r="AP608" s="458"/>
      <c r="AQ608" s="458"/>
      <c r="AR608" s="458"/>
      <c r="AS608" s="458"/>
      <c r="AT608" s="458"/>
      <c r="AU608" s="458"/>
      <c r="AV608" s="458"/>
      <c r="AW608" s="458"/>
      <c r="AX608" s="458"/>
      <c r="AY608" s="458"/>
      <c r="AZ608" s="458"/>
      <c r="BA608" s="458"/>
      <c r="BB608" s="458"/>
      <c r="BC608" s="458"/>
      <c r="BD608" s="458"/>
      <c r="BE608" s="458"/>
      <c r="BF608" s="458"/>
      <c r="BG608" s="458"/>
      <c r="BH608" s="458"/>
      <c r="BI608" s="458"/>
      <c r="BJ608" s="458"/>
      <c r="BK608" s="458"/>
      <c r="BL608" s="458"/>
      <c r="BM608" s="458"/>
      <c r="BN608" s="458"/>
      <c r="BO608" s="458"/>
      <c r="BP608" s="458"/>
      <c r="BQ608" s="459"/>
    </row>
    <row r="609" ht="16.4" customHeight="1" spans="1:69">
      <c r="A609" s="1" t="s">
        <v>254</v>
      </c>
      <c r="B609" s="60" t="s">
        <v>816</v>
      </c>
      <c r="C609" s="33"/>
      <c r="D609" s="87" t="s">
        <v>817</v>
      </c>
      <c r="E609" s="235" t="e" cm="1">
        <f t="array" ref="E609">IF(dc(101)="TRUE",8,0)</f>
        <v>#NAME?</v>
      </c>
      <c r="F609" s="458"/>
      <c r="G609" s="458"/>
      <c r="H609" s="458"/>
      <c r="I609" s="458"/>
      <c r="J609" s="458"/>
      <c r="K609" s="458"/>
      <c r="L609" s="458"/>
      <c r="M609" s="458"/>
      <c r="N609" s="458"/>
      <c r="O609" s="458"/>
      <c r="P609" s="458"/>
      <c r="Q609" s="458"/>
      <c r="R609" s="458"/>
      <c r="S609" s="458"/>
      <c r="T609" s="458"/>
      <c r="U609" s="458"/>
      <c r="V609" s="458"/>
      <c r="W609" s="458"/>
      <c r="X609" s="458"/>
      <c r="Y609" s="458"/>
      <c r="Z609" s="458"/>
      <c r="AA609" s="458"/>
      <c r="AB609" s="458"/>
      <c r="AC609" s="458"/>
      <c r="AD609" s="458"/>
      <c r="AE609" s="458"/>
      <c r="AF609" s="458"/>
      <c r="AG609" s="458"/>
      <c r="AH609" s="458"/>
      <c r="AI609" s="458"/>
      <c r="AJ609" s="458"/>
      <c r="AK609" s="458"/>
      <c r="AL609" s="458"/>
      <c r="AM609" s="458"/>
      <c r="AN609" s="458"/>
      <c r="AO609" s="458"/>
      <c r="AP609" s="458"/>
      <c r="AQ609" s="458"/>
      <c r="AR609" s="458"/>
      <c r="AS609" s="458"/>
      <c r="AT609" s="458"/>
      <c r="AU609" s="458"/>
      <c r="AV609" s="458"/>
      <c r="AW609" s="458"/>
      <c r="AX609" s="458"/>
      <c r="AY609" s="458"/>
      <c r="AZ609" s="458"/>
      <c r="BA609" s="458"/>
      <c r="BB609" s="458"/>
      <c r="BC609" s="458"/>
      <c r="BD609" s="458"/>
      <c r="BE609" s="458"/>
      <c r="BF609" s="458"/>
      <c r="BG609" s="458"/>
      <c r="BH609" s="458"/>
      <c r="BI609" s="458"/>
      <c r="BJ609" s="458"/>
      <c r="BK609" s="458"/>
      <c r="BL609" s="458"/>
      <c r="BM609" s="458"/>
      <c r="BN609" s="458"/>
      <c r="BO609" s="458"/>
      <c r="BP609" s="458"/>
      <c r="BQ609" s="459"/>
    </row>
    <row r="610" ht="16.4" customHeight="1" spans="1:69">
      <c r="A610" s="1" t="s">
        <v>254</v>
      </c>
      <c r="B610" s="284" t="s">
        <v>818</v>
      </c>
      <c r="C610" s="49"/>
      <c r="D610" s="225" t="s">
        <v>819</v>
      </c>
      <c r="E610" s="460"/>
      <c r="F610" s="461" t="e" cm="1">
        <f t="array" ref="F610">IF(dc(101)="TRUE",F$607,"-")</f>
        <v>#NAME?</v>
      </c>
      <c r="G610" s="461" t="e" cm="1">
        <f t="array" ref="G610">IF(dc(101)="TRUE",G$607,"-")</f>
        <v>#NAME?</v>
      </c>
      <c r="H610" s="461" t="e" cm="1">
        <f t="array" ref="H610">IF(dc(101)="TRUE",H$607,"-")</f>
        <v>#NAME?</v>
      </c>
      <c r="I610" s="461" t="e" cm="1">
        <f t="array" ref="I610">IF(dc(101)="TRUE",I$607,"-")</f>
        <v>#NAME?</v>
      </c>
      <c r="J610" s="461" t="e" cm="1">
        <f t="array" ref="J610">IF(dc(101)="TRUE",J$607,"-")</f>
        <v>#NAME?</v>
      </c>
      <c r="K610" s="461" t="e" cm="1">
        <f t="array" ref="K610">IF(dc(101)="TRUE",K$607,"-")</f>
        <v>#NAME?</v>
      </c>
      <c r="L610" s="461" t="e" cm="1">
        <f t="array" ref="L610">IF(dc(101)="TRUE",L$607,"-")</f>
        <v>#NAME?</v>
      </c>
      <c r="M610" s="461" t="e" cm="1">
        <f t="array" ref="M610">IF(dc(101)="TRUE",M$607,"-")</f>
        <v>#NAME?</v>
      </c>
      <c r="N610" s="461" t="e" cm="1">
        <f t="array" ref="N610">IF(dc(101)="TRUE",N$607,"-")</f>
        <v>#NAME?</v>
      </c>
      <c r="O610" s="461" t="e" cm="1">
        <f t="array" ref="O610">IF(dc(101)="TRUE",O$607,"-")</f>
        <v>#NAME?</v>
      </c>
      <c r="P610" s="461" t="e" cm="1">
        <f t="array" ref="P610">IF(dc(101)="TRUE",P$607,"-")</f>
        <v>#NAME?</v>
      </c>
      <c r="Q610" s="461" t="e" cm="1">
        <f t="array" ref="Q610">IF(dc(101)="TRUE",Q$607,"-")</f>
        <v>#NAME?</v>
      </c>
      <c r="R610" s="461" t="e" cm="1">
        <f t="array" ref="R610">IF(dc(101)="TRUE",R$607,"-")</f>
        <v>#NAME?</v>
      </c>
      <c r="S610" s="461" t="e" cm="1">
        <f t="array" ref="S610">IF(dc(101)="TRUE",S$607,"-")</f>
        <v>#NAME?</v>
      </c>
      <c r="T610" s="461" t="e" cm="1">
        <f t="array" ref="T610">IF(dc(101)="TRUE",T$607,"-")</f>
        <v>#NAME?</v>
      </c>
      <c r="U610" s="461" t="e" cm="1">
        <f t="array" ref="U610">IF(dc(101)="TRUE",U$607,"-")</f>
        <v>#NAME?</v>
      </c>
      <c r="V610" s="461" t="e" cm="1">
        <f t="array" ref="V610">IF(dc(101)="TRUE",V$607,"-")</f>
        <v>#NAME?</v>
      </c>
      <c r="W610" s="461" t="e" cm="1">
        <f t="array" ref="W610">IF(dc(101)="TRUE",W$607,"-")</f>
        <v>#NAME?</v>
      </c>
      <c r="X610" s="461" t="e" cm="1">
        <f t="array" ref="X610">IF(dc(101)="TRUE",X$607,"-")</f>
        <v>#NAME?</v>
      </c>
      <c r="Y610" s="461" t="e" cm="1">
        <f t="array" ref="Y610">IF(dc(101)="TRUE",Y$607,"-")</f>
        <v>#NAME?</v>
      </c>
      <c r="Z610" s="461" t="e" cm="1">
        <f t="array" ref="Z610">IF(dc(101)="TRUE",Z$607,"-")</f>
        <v>#NAME?</v>
      </c>
      <c r="AA610" s="461" t="e" cm="1">
        <f t="array" ref="AA610">IF(dc(101)="TRUE",AA$607,"-")</f>
        <v>#NAME?</v>
      </c>
      <c r="AB610" s="461" t="e" cm="1">
        <f t="array" ref="AB610">IF(dc(101)="TRUE",AB$607,"-")</f>
        <v>#NAME?</v>
      </c>
      <c r="AC610" s="461" t="e" cm="1">
        <f t="array" ref="AC610">IF(dc(101)="TRUE",AC$607,"-")</f>
        <v>#NAME?</v>
      </c>
      <c r="AD610" s="461" t="e" cm="1">
        <f t="array" ref="AD610">IF(dc(101)="TRUE",AD$607,"-")</f>
        <v>#NAME?</v>
      </c>
      <c r="AE610" s="461" t="e" cm="1">
        <f t="array" ref="AE610">IF(dc(101)="TRUE",AE$607,"-")</f>
        <v>#NAME?</v>
      </c>
      <c r="AF610" s="461" t="e" cm="1">
        <f t="array" ref="AF610">IF(dc(101)="TRUE",AF$607,"-")</f>
        <v>#NAME?</v>
      </c>
      <c r="AG610" s="461" t="e" cm="1">
        <f t="array" ref="AG610">IF(dc(101)="TRUE",AG$607,"-")</f>
        <v>#NAME?</v>
      </c>
      <c r="AH610" s="461" t="e" cm="1">
        <f t="array" ref="AH610">IF(dc(101)="TRUE",AH$607,"-")</f>
        <v>#NAME?</v>
      </c>
      <c r="AI610" s="461" t="e" cm="1">
        <f t="array" ref="AI610">IF(dc(101)="TRUE",AI$607,"-")</f>
        <v>#NAME?</v>
      </c>
      <c r="AJ610" s="461" t="e" cm="1">
        <f t="array" ref="AJ610">IF(dc(101)="TRUE",AJ$607,"-")</f>
        <v>#NAME?</v>
      </c>
      <c r="AK610" s="461" t="e" cm="1">
        <f t="array" ref="AK610">IF(dc(101)="TRUE",AK$607,"-")</f>
        <v>#NAME?</v>
      </c>
      <c r="AL610" s="461" t="e" cm="1">
        <f t="array" ref="AL610">IF(dc(101)="TRUE",AL$607,"-")</f>
        <v>#NAME?</v>
      </c>
      <c r="AM610" s="461" t="e" cm="1">
        <f t="array" ref="AM610">IF(dc(101)="TRUE",AM$607,"-")</f>
        <v>#NAME?</v>
      </c>
      <c r="AN610" s="461" t="e" cm="1">
        <f t="array" ref="AN610">IF(dc(101)="TRUE",AN$607,"-")</f>
        <v>#NAME?</v>
      </c>
      <c r="AO610" s="461" t="e" cm="1">
        <f t="array" ref="AO610">IF(dc(101)="TRUE",AO$607,"-")</f>
        <v>#NAME?</v>
      </c>
      <c r="AP610" s="461" t="e" cm="1">
        <f t="array" ref="AP610">IF(dc(101)="TRUE",AP$607,"-")</f>
        <v>#NAME?</v>
      </c>
      <c r="AQ610" s="461" t="e" cm="1">
        <f t="array" ref="AQ610">IF(dc(101)="TRUE",AQ$607,"-")</f>
        <v>#NAME?</v>
      </c>
      <c r="AR610" s="461" t="e" cm="1">
        <f t="array" ref="AR610">IF(dc(101)="TRUE",AR$607,"-")</f>
        <v>#NAME?</v>
      </c>
      <c r="AS610" s="461" t="e" cm="1">
        <f t="array" ref="AS610">IF(dc(101)="TRUE",AS$607,"-")</f>
        <v>#NAME?</v>
      </c>
      <c r="AT610" s="461" t="e" cm="1">
        <f t="array" ref="AT610">IF(dc(101)="TRUE",AT$607,"-")</f>
        <v>#NAME?</v>
      </c>
      <c r="AU610" s="461" t="e" cm="1">
        <f t="array" ref="AU610">IF(dc(101)="TRUE",AU$607,"-")</f>
        <v>#NAME?</v>
      </c>
      <c r="AV610" s="461" t="e" cm="1">
        <f t="array" ref="AV610">IF(dc(101)="TRUE",AV$607,"-")</f>
        <v>#NAME?</v>
      </c>
      <c r="AW610" s="461" t="e" cm="1">
        <f t="array" ref="AW610">IF(dc(101)="TRUE",AW$607,"-")</f>
        <v>#NAME?</v>
      </c>
      <c r="AX610" s="461" t="e" cm="1">
        <f t="array" ref="AX610">IF(dc(101)="TRUE",AX$607,"-")</f>
        <v>#NAME?</v>
      </c>
      <c r="AY610" s="461" t="e" cm="1">
        <f t="array" ref="AY610">IF(dc(101)="TRUE",AY$607,"-")</f>
        <v>#NAME?</v>
      </c>
      <c r="AZ610" s="461" t="e" cm="1">
        <f t="array" ref="AZ610">IF(dc(101)="TRUE",AZ$607,"-")</f>
        <v>#NAME?</v>
      </c>
      <c r="BA610" s="461" t="e" cm="1">
        <f t="array" ref="BA610">IF(dc(101)="TRUE",BA$607,"-")</f>
        <v>#NAME?</v>
      </c>
      <c r="BB610" s="461" t="e" cm="1">
        <f t="array" ref="BB610">IF(dc(101)="TRUE",BB$607,"-")</f>
        <v>#NAME?</v>
      </c>
      <c r="BC610" s="461" t="e" cm="1">
        <f t="array" ref="BC610">IF(dc(101)="TRUE",BC$607,"-")</f>
        <v>#NAME?</v>
      </c>
      <c r="BD610" s="461" t="e" cm="1">
        <f t="array" ref="BD610">IF(dc(101)="TRUE",BD$607,"-")</f>
        <v>#NAME?</v>
      </c>
      <c r="BE610" s="461" t="e" cm="1">
        <f t="array" ref="BE610">IF(dc(101)="TRUE",BE$607,"-")</f>
        <v>#NAME?</v>
      </c>
      <c r="BF610" s="461" t="e" cm="1">
        <f t="array" ref="BF610">IF(dc(101)="TRUE",BF$607,"-")</f>
        <v>#NAME?</v>
      </c>
      <c r="BG610" s="461" t="e" cm="1">
        <f t="array" ref="BG610">IF(dc(101)="TRUE",BG$607,"-")</f>
        <v>#NAME?</v>
      </c>
      <c r="BH610" s="461" t="e" cm="1">
        <f t="array" ref="BH610">IF(dc(101)="TRUE",BH$607,"-")</f>
        <v>#NAME?</v>
      </c>
      <c r="BI610" s="461" t="e" cm="1">
        <f t="array" ref="BI610">IF(dc(101)="TRUE",BI$607,"-")</f>
        <v>#NAME?</v>
      </c>
      <c r="BJ610" s="461" t="e" cm="1">
        <f t="array" ref="BJ610">IF(dc(101)="TRUE",BJ$607,"-")</f>
        <v>#NAME?</v>
      </c>
      <c r="BK610" s="461" t="e" cm="1">
        <f t="array" ref="BK610">IF(dc(101)="TRUE",BK$607,"-")</f>
        <v>#NAME?</v>
      </c>
      <c r="BL610" s="461" t="e" cm="1">
        <f t="array" ref="BL610">IF(dc(101)="TRUE",BL$607,"-")</f>
        <v>#NAME?</v>
      </c>
      <c r="BM610" s="461" t="e" cm="1">
        <f t="array" ref="BM610">IF(dc(101)="TRUE",BM$607,"-")</f>
        <v>#NAME?</v>
      </c>
      <c r="BN610" s="461" t="e" cm="1">
        <f t="array" ref="BN610">IF(dc(101)="TRUE",BN$607,"-")</f>
        <v>#NAME?</v>
      </c>
      <c r="BO610" s="461" t="e" cm="1">
        <f t="array" ref="BO610">IF(dc(101)="TRUE",BO$607,"-")</f>
        <v>#NAME?</v>
      </c>
      <c r="BP610" s="461" t="e" cm="1">
        <f t="array" ref="BP610">IF(dc(101)="TRUE",BP$607,"-")</f>
        <v>#NAME?</v>
      </c>
      <c r="BQ610" s="461" t="e" cm="1">
        <f t="array" ref="BQ610">IF(dc(101)="TRUE",BQ$607,"-")</f>
        <v>#NAME?</v>
      </c>
    </row>
    <row r="611" ht="16.4" customHeight="1" spans="1:69">
      <c r="B611" s="16"/>
      <c r="C611" s="17"/>
      <c r="D611" s="16"/>
      <c r="E611" s="3"/>
      <c r="F611" s="462"/>
      <c r="G611" s="462"/>
      <c r="H611" s="462"/>
      <c r="I611" s="454"/>
      <c r="J611" s="454"/>
      <c r="K611" s="454"/>
      <c r="L611" s="454"/>
    </row>
    <row r="612" ht="16.4" customHeight="1" spans="1:69">
      <c r="A612" s="1" t="s">
        <v>254</v>
      </c>
      <c r="B612" s="53" t="s">
        <v>820</v>
      </c>
      <c r="C612" s="90"/>
      <c r="D612" s="463" t="s">
        <v>237</v>
      </c>
      <c r="E612" s="464"/>
      <c r="F612" s="29">
        <v>1</v>
      </c>
      <c r="G612" s="29">
        <v>2</v>
      </c>
      <c r="H612" s="29">
        <v>3</v>
      </c>
      <c r="I612" s="29">
        <v>4</v>
      </c>
      <c r="J612" s="29">
        <v>5</v>
      </c>
      <c r="K612" s="29">
        <v>6</v>
      </c>
      <c r="L612" s="29">
        <v>7</v>
      </c>
      <c r="M612" s="465"/>
    </row>
    <row r="613" ht="16.4" customHeight="1" spans="1:69">
      <c r="A613" s="1" t="s">
        <v>371</v>
      </c>
      <c r="B613" s="60" t="s">
        <v>821</v>
      </c>
      <c r="C613" s="42"/>
      <c r="D613" s="87" t="s">
        <v>822</v>
      </c>
      <c r="E613" s="415">
        <f>7-COUNTIF(F614:L614,"-")</f>
        <v>0</v>
      </c>
      <c r="F613" s="466"/>
      <c r="G613" s="466"/>
      <c r="H613" s="466"/>
      <c r="I613" s="466"/>
      <c r="J613" s="466"/>
      <c r="K613" s="466"/>
      <c r="L613" s="466"/>
      <c r="O613" s="16"/>
    </row>
    <row r="614" ht="16.4" customHeight="1" spans="1:69">
      <c r="A614" s="1" t="s">
        <v>371</v>
      </c>
      <c r="B614" s="284" t="s">
        <v>823</v>
      </c>
      <c r="C614" s="49">
        <v>5220020</v>
      </c>
      <c r="D614" s="225" t="s">
        <v>824</v>
      </c>
      <c r="E614" s="282"/>
      <c r="F614" s="185" t="s">
        <v>61</v>
      </c>
      <c r="G614" s="187" t="s">
        <v>61</v>
      </c>
      <c r="H614" s="187" t="s">
        <v>61</v>
      </c>
      <c r="I614" s="187" t="s">
        <v>61</v>
      </c>
      <c r="J614" s="187" t="s">
        <v>61</v>
      </c>
      <c r="K614" s="187" t="s">
        <v>61</v>
      </c>
      <c r="L614" s="187" t="s">
        <v>61</v>
      </c>
      <c r="M614" s="465"/>
    </row>
    <row r="615" ht="16.4" customHeight="1" spans="1:69">
      <c r="A615" s="27"/>
      <c r="B615" s="16"/>
      <c r="C615" s="17"/>
      <c r="D615" s="16"/>
      <c r="F615" s="341"/>
      <c r="G615" s="341"/>
      <c r="H615" s="341"/>
      <c r="I615" s="341"/>
      <c r="J615" s="341"/>
      <c r="K615" s="341"/>
      <c r="L615" s="341"/>
    </row>
    <row r="616" ht="16.4" customHeight="1" spans="1:69">
      <c r="A616" s="1" t="s">
        <v>79</v>
      </c>
      <c r="B616" s="53" t="s">
        <v>825</v>
      </c>
      <c r="C616" s="55"/>
      <c r="D616" s="55"/>
      <c r="E616" s="68"/>
    </row>
    <row r="617" ht="16.4" customHeight="1" spans="1:69">
      <c r="A617" s="1" t="s">
        <v>79</v>
      </c>
      <c r="B617" s="48"/>
      <c r="C617" s="467"/>
      <c r="D617" s="225" t="s">
        <v>826</v>
      </c>
      <c r="E617" s="468" t="e" cm="1">
        <f t="array" ref="E617">dc(80)</f>
        <v>#NAME?</v>
      </c>
      <c r="F617" s="16"/>
    </row>
    <row r="618" ht="16.4" customHeight="1" spans="1:69">
      <c r="C618" s="2"/>
      <c r="D618" s="16"/>
      <c r="E618" s="469"/>
      <c r="F618" s="16"/>
    </row>
    <row r="619" ht="16.4" customHeight="1" spans="1:69">
      <c r="A619" s="1" t="s">
        <v>827</v>
      </c>
      <c r="B619" s="53" t="s">
        <v>828</v>
      </c>
      <c r="C619" s="310"/>
      <c r="D619" s="55"/>
      <c r="E619" s="470" t="s">
        <v>829</v>
      </c>
      <c r="F619" s="16"/>
    </row>
    <row r="620" ht="16.4" customHeight="1" spans="1:69">
      <c r="A620" s="1" t="s">
        <v>827</v>
      </c>
      <c r="B620" s="60"/>
      <c r="C620" s="42"/>
      <c r="D620" s="87" t="s">
        <v>830</v>
      </c>
      <c r="E620" s="392" t="e" cm="1">
        <f t="array" ref="E620">Fixed_Param(130,1)</f>
        <v>#NAME?</v>
      </c>
      <c r="F620" s="16"/>
    </row>
    <row r="621" ht="16.4" customHeight="1" spans="1:69">
      <c r="A621" s="1" t="s">
        <v>831</v>
      </c>
      <c r="B621" s="48"/>
      <c r="C621" s="467"/>
      <c r="D621" s="96" t="s">
        <v>832</v>
      </c>
      <c r="E621" s="471" t="e" cm="1">
        <f t="array" ref="E621">Fixed_Param(1303,1)</f>
        <v>#NAME?</v>
      </c>
      <c r="F621" s="16"/>
    </row>
    <row r="622" ht="16.4" customHeight="1" spans="1:69">
      <c r="B622" s="189"/>
      <c r="C622" s="108"/>
      <c r="D622" s="189"/>
      <c r="E622" s="472"/>
    </row>
    <row r="623" ht="16.4" customHeight="1" spans="1:69">
      <c r="A623" s="1" t="s">
        <v>84</v>
      </c>
      <c r="B623" s="190" t="s">
        <v>833</v>
      </c>
      <c r="C623" s="163"/>
      <c r="D623" s="383"/>
      <c r="E623" s="473"/>
      <c r="F623" s="474"/>
    </row>
    <row r="624" ht="16.4" customHeight="1" spans="1:69">
      <c r="A624" s="1" t="s">
        <v>84</v>
      </c>
      <c r="B624" s="346" t="s">
        <v>834</v>
      </c>
      <c r="C624" s="176"/>
      <c r="D624" s="16" t="s">
        <v>835</v>
      </c>
      <c r="E624" s="9">
        <f>COUNTIF(F625,"&lt;&gt;-")</f>
        <v>1</v>
      </c>
      <c r="F624" s="475" t="s">
        <v>836</v>
      </c>
    </row>
    <row r="625" ht="16.4" customHeight="1" spans="1:6">
      <c r="A625" s="1" t="s">
        <v>84</v>
      </c>
      <c r="B625" s="346"/>
      <c r="C625" s="176"/>
      <c r="D625" s="43" t="s">
        <v>837</v>
      </c>
      <c r="E625" s="362"/>
      <c r="F625" s="121" t="e" cm="1">
        <f t="array" ref="F625">IF(ID(195)="Not Used","-",ID(196))</f>
        <v>#NAME?</v>
      </c>
    </row>
    <row r="626" ht="16.4" customHeight="1" spans="1:6">
      <c r="A626" s="1" t="s">
        <v>84</v>
      </c>
      <c r="B626" s="346"/>
      <c r="C626" s="176"/>
      <c r="D626" s="43" t="s">
        <v>838</v>
      </c>
      <c r="E626" s="476"/>
      <c r="F626" s="121" t="e" cm="1">
        <f t="array" ref="F626">IF(ID(195)="Not Used","-",ID(685))</f>
        <v>#NAME?</v>
      </c>
    </row>
    <row r="627" ht="16.4" customHeight="1" spans="1:6">
      <c r="A627" s="1" t="s">
        <v>84</v>
      </c>
      <c r="B627" s="346"/>
      <c r="C627" s="176"/>
      <c r="D627" s="43" t="s">
        <v>839</v>
      </c>
      <c r="E627" s="362"/>
      <c r="F627" s="121" t="e" cm="1">
        <f t="array" ref="F627">IF(ID(195)="Not Used","-",ID(197))</f>
        <v>#NAME?</v>
      </c>
    </row>
    <row r="628" ht="16.4" customHeight="1" spans="1:6">
      <c r="A628" s="1" t="s">
        <v>84</v>
      </c>
      <c r="B628" s="346"/>
      <c r="C628" s="176"/>
      <c r="D628" s="43" t="s">
        <v>840</v>
      </c>
      <c r="E628" s="362"/>
      <c r="F628" s="121" t="e" cm="1">
        <f t="array" ref="F628">IF(ID(195)="Not Used","-",ID(198))</f>
        <v>#NAME?</v>
      </c>
    </row>
    <row r="629" ht="16.4" customHeight="1" spans="1:6">
      <c r="A629" s="1" t="s">
        <v>84</v>
      </c>
      <c r="B629" s="346"/>
      <c r="C629" s="176"/>
      <c r="D629" s="43" t="s">
        <v>841</v>
      </c>
      <c r="E629" s="362"/>
      <c r="F629" s="121" t="e" cm="1">
        <f t="array" ref="F629">IF(ID(195)="Not Used","-",ID(200))</f>
        <v>#NAME?</v>
      </c>
    </row>
    <row r="630" ht="16.4" customHeight="1" spans="1:6">
      <c r="A630" s="1" t="s">
        <v>84</v>
      </c>
      <c r="B630" s="346"/>
      <c r="C630" s="176"/>
      <c r="D630" s="43" t="s">
        <v>842</v>
      </c>
      <c r="E630" s="362"/>
      <c r="F630" s="121" t="e" cm="1">
        <f t="array" ref="F630">IF(ID(195)="Not Used","-",ID(201))</f>
        <v>#NAME?</v>
      </c>
    </row>
    <row r="631" ht="16.4" customHeight="1" spans="1:6">
      <c r="A631" s="1" t="s">
        <v>84</v>
      </c>
      <c r="B631" s="346"/>
      <c r="C631" s="176"/>
      <c r="D631" s="43" t="s">
        <v>843</v>
      </c>
      <c r="E631" s="362"/>
      <c r="F631" s="121" t="e" cm="1">
        <f t="array" ref="F631">IF(ID(195)="Not Used","-",ID(202))</f>
        <v>#NAME?</v>
      </c>
    </row>
    <row r="632" ht="16.4" customHeight="1" spans="1:6">
      <c r="A632" s="1" t="s">
        <v>84</v>
      </c>
      <c r="B632" s="346"/>
      <c r="C632" s="176"/>
      <c r="D632" s="43" t="s">
        <v>844</v>
      </c>
      <c r="E632" s="362"/>
      <c r="F632" s="121" t="e" cm="1">
        <f t="array" ref="F632">IF(ID(195)="Not Used","-",ID(203))</f>
        <v>#NAME?</v>
      </c>
    </row>
    <row r="633" ht="16.4" customHeight="1" spans="1:6">
      <c r="A633" s="1" t="s">
        <v>84</v>
      </c>
      <c r="B633" s="346"/>
      <c r="C633" s="176"/>
      <c r="D633" s="43" t="s">
        <v>845</v>
      </c>
      <c r="E633" s="362"/>
      <c r="F633" s="121" t="e" cm="1">
        <f t="array" ref="F633">IF(ID(195)="Not Used","-",ID(204))</f>
        <v>#NAME?</v>
      </c>
    </row>
    <row r="634" ht="16.4" customHeight="1" spans="1:6">
      <c r="A634" s="1" t="s">
        <v>84</v>
      </c>
      <c r="B634" s="346"/>
      <c r="C634" s="176"/>
      <c r="D634" s="43" t="s">
        <v>846</v>
      </c>
      <c r="E634" s="362"/>
      <c r="F634" s="121" t="e" cm="1">
        <f t="array" ref="F634">IF(ID(195)="Not Used","-",ID(205))</f>
        <v>#NAME?</v>
      </c>
    </row>
    <row r="635" ht="16.4" customHeight="1" spans="1:6">
      <c r="A635" s="1" t="s">
        <v>84</v>
      </c>
      <c r="B635" s="346"/>
      <c r="C635" s="176"/>
      <c r="D635" s="43" t="s">
        <v>847</v>
      </c>
      <c r="E635" s="362"/>
      <c r="F635" s="121" t="e" cm="1">
        <f t="array" ref="F635">IF(ID(195)="Not Used","-",ID(206))</f>
        <v>#NAME?</v>
      </c>
    </row>
    <row r="636" ht="16.4" customHeight="1" spans="1:6">
      <c r="A636" s="1" t="s">
        <v>84</v>
      </c>
      <c r="B636" s="346"/>
      <c r="C636" s="176"/>
      <c r="D636" s="43" t="s">
        <v>848</v>
      </c>
      <c r="E636" s="362"/>
      <c r="F636" s="121" t="e" cm="1">
        <f t="array" ref="F636">IF(ID(195)="Not Used","-",IF('Train type (2)'!rel_spd_announcement_active="TRUE",ID(207),"TRUE"))</f>
        <v>#NAME?</v>
      </c>
    </row>
    <row r="637" ht="16.4" customHeight="1" spans="1:6">
      <c r="A637" s="1" t="s">
        <v>84</v>
      </c>
      <c r="B637" s="346"/>
      <c r="C637" s="176"/>
      <c r="D637" s="43" t="s">
        <v>849</v>
      </c>
      <c r="E637" s="362"/>
      <c r="F637" s="121" t="e" cm="1">
        <f t="array" ref="F637">IF(ID(195)="Not Used","-",IF('Train type (2)'!rel_spd_announcement_active="TRUE",ID(208),0))</f>
        <v>#NAME?</v>
      </c>
    </row>
    <row r="638" ht="16.4" customHeight="1" spans="1:6">
      <c r="A638" s="1" t="s">
        <v>84</v>
      </c>
      <c r="B638" s="351"/>
      <c r="C638" s="183"/>
      <c r="D638" s="50" t="s">
        <v>850</v>
      </c>
      <c r="E638" s="364"/>
      <c r="F638" s="317" t="e" cm="1">
        <f t="array" ref="F638">IF(ID(195)="Not Used","-",IF('Train type (2)'!rel_spd_announcement_active="TRUE",ID(209),0))</f>
        <v>#NAME?</v>
      </c>
    </row>
    <row r="639" ht="16.4" customHeight="1" spans="1:6">
      <c r="A639" s="15"/>
      <c r="B639" s="63"/>
      <c r="C639" s="17"/>
      <c r="D639" s="16"/>
      <c r="E639" s="101"/>
      <c r="F639" s="341"/>
    </row>
    <row r="640" ht="16.4" customHeight="1" spans="1:6">
      <c r="A640" s="149" t="s">
        <v>851</v>
      </c>
      <c r="B640" s="190" t="s">
        <v>852</v>
      </c>
      <c r="C640" s="163"/>
      <c r="D640" s="383"/>
      <c r="E640" s="477"/>
    </row>
    <row r="641" ht="16.4" customHeight="1" spans="1:5">
      <c r="A641" s="149" t="s">
        <v>851</v>
      </c>
      <c r="B641" s="346"/>
      <c r="C641" s="176"/>
      <c r="D641" s="478" t="s">
        <v>853</v>
      </c>
      <c r="E641" s="79" t="e" cm="1">
        <f t="array" ref="E641">IF(ID(2220)="Used","TRUE","FALSE")</f>
        <v>#NAME?</v>
      </c>
    </row>
    <row r="642" ht="16.4" customHeight="1" spans="1:5">
      <c r="A642" s="149" t="s">
        <v>851</v>
      </c>
      <c r="B642" s="346"/>
      <c r="C642" s="176"/>
      <c r="D642" s="479" t="s">
        <v>854</v>
      </c>
      <c r="E642" s="480" t="e" cm="1">
        <f t="array" ref="E642">IF(ID(2221)="Used","TRUE","FALSE")</f>
        <v>#NAME?</v>
      </c>
    </row>
    <row r="643" ht="16.4" customHeight="1" spans="1:5">
      <c r="A643" s="149" t="s">
        <v>851</v>
      </c>
      <c r="B643" s="346"/>
      <c r="C643" s="176"/>
      <c r="D643" s="479" t="s">
        <v>855</v>
      </c>
      <c r="E643" s="481" t="e" cm="1">
        <f t="array" ref="E643">Fixed_Param(660,1)</f>
        <v>#NAME?</v>
      </c>
    </row>
    <row r="644" ht="16.4" customHeight="1" spans="1:5">
      <c r="A644" s="149" t="s">
        <v>851</v>
      </c>
      <c r="B644" s="346"/>
      <c r="C644" s="176"/>
      <c r="D644" s="479" t="s">
        <v>856</v>
      </c>
      <c r="E644" s="481" t="e" cm="1">
        <f t="array" ref="E644">Fixed_Param(661,1)</f>
        <v>#NAME?</v>
      </c>
    </row>
    <row r="645" ht="16.4" customHeight="1" spans="1:5">
      <c r="A645" s="149" t="s">
        <v>851</v>
      </c>
      <c r="B645" s="346"/>
      <c r="C645" s="176"/>
      <c r="D645" s="479" t="s">
        <v>857</v>
      </c>
      <c r="E645" s="481" t="e" cm="1">
        <f t="array" ref="E645">Fixed_Param(662,1)</f>
        <v>#NAME?</v>
      </c>
    </row>
    <row r="646" ht="16.4" customHeight="1" spans="1:5">
      <c r="A646" s="149" t="s">
        <v>851</v>
      </c>
      <c r="B646" s="346"/>
      <c r="C646" s="176"/>
      <c r="D646" s="479" t="s">
        <v>858</v>
      </c>
      <c r="E646" s="481" t="e" cm="1">
        <f t="array" ref="E646">Fixed_Param(663,1)</f>
        <v>#NAME?</v>
      </c>
    </row>
    <row r="647" ht="16.4" customHeight="1" spans="1:5">
      <c r="A647" s="149" t="s">
        <v>851</v>
      </c>
      <c r="B647" s="346"/>
      <c r="C647" s="176"/>
      <c r="D647" s="479" t="s">
        <v>859</v>
      </c>
      <c r="E647" s="481" t="e" cm="1">
        <f t="array" ref="E647">Fixed_Param(664,1)</f>
        <v>#NAME?</v>
      </c>
    </row>
    <row r="648" ht="16.4" customHeight="1" spans="1:5">
      <c r="A648" s="149" t="s">
        <v>851</v>
      </c>
      <c r="B648" s="346"/>
      <c r="C648" s="176"/>
      <c r="D648" s="479" t="s">
        <v>860</v>
      </c>
      <c r="E648" s="481" t="e" cm="1">
        <f t="array" ref="E648">Fixed_Param(665,1)</f>
        <v>#NAME?</v>
      </c>
    </row>
    <row r="649" ht="16.4" customHeight="1" spans="1:5">
      <c r="A649" s="149" t="s">
        <v>851</v>
      </c>
      <c r="B649" s="346"/>
      <c r="C649" s="176"/>
      <c r="D649" s="479" t="s">
        <v>861</v>
      </c>
      <c r="E649" s="481" t="e" cm="1">
        <f t="array" ref="E649">Fixed_Param(666,1)</f>
        <v>#NAME?</v>
      </c>
    </row>
    <row r="650" ht="16.4" customHeight="1" spans="1:5">
      <c r="A650" s="149" t="s">
        <v>851</v>
      </c>
      <c r="B650" s="346"/>
      <c r="C650" s="176"/>
      <c r="D650" s="479" t="s">
        <v>862</v>
      </c>
      <c r="E650" s="481" t="e" cm="1">
        <f t="array" ref="E650">Fixed_Param(667,1)</f>
        <v>#NAME?</v>
      </c>
    </row>
    <row r="651" ht="16.4" customHeight="1" spans="1:5">
      <c r="A651" s="149" t="s">
        <v>851</v>
      </c>
      <c r="B651" s="346"/>
      <c r="C651" s="176"/>
      <c r="D651" s="479" t="s">
        <v>863</v>
      </c>
      <c r="E651" s="481" t="e" cm="1">
        <f t="array" ref="E651">Fixed_Param(668,1)</f>
        <v>#NAME?</v>
      </c>
    </row>
    <row r="652" ht="16.4" customHeight="1" spans="1:5">
      <c r="A652" s="149" t="s">
        <v>851</v>
      </c>
      <c r="B652" s="346"/>
      <c r="C652" s="176"/>
      <c r="D652" s="479" t="s">
        <v>864</v>
      </c>
      <c r="E652" s="481" t="e" cm="1">
        <f t="array" ref="E652">Fixed_Param(669,1)</f>
        <v>#NAME?</v>
      </c>
    </row>
    <row r="653" ht="16.4" customHeight="1" spans="1:5">
      <c r="A653" s="149" t="s">
        <v>851</v>
      </c>
      <c r="B653" s="346"/>
      <c r="C653" s="176"/>
      <c r="D653" s="479" t="s">
        <v>865</v>
      </c>
      <c r="E653" s="481" t="e" cm="1">
        <f t="array" ref="E653">Fixed_Param(670,1)</f>
        <v>#NAME?</v>
      </c>
    </row>
    <row r="654" ht="16.4" customHeight="1" spans="1:5">
      <c r="A654" s="149" t="s">
        <v>851</v>
      </c>
      <c r="B654" s="346"/>
      <c r="C654" s="176"/>
      <c r="D654" s="479" t="s">
        <v>866</v>
      </c>
      <c r="E654" s="481" t="e" cm="1">
        <f t="array" ref="E654">Fixed_Param(671,1)</f>
        <v>#NAME?</v>
      </c>
    </row>
    <row r="655" ht="16.4" customHeight="1" spans="1:5">
      <c r="A655" s="149" t="s">
        <v>851</v>
      </c>
      <c r="B655" s="346"/>
      <c r="C655" s="176"/>
      <c r="D655" s="482" t="s">
        <v>867</v>
      </c>
      <c r="E655" s="481" t="e" cm="1">
        <f t="array" ref="E655">Fixed_Param(672,1)</f>
        <v>#NAME?</v>
      </c>
    </row>
    <row r="656" ht="16.4" customHeight="1" spans="1:5">
      <c r="A656" s="149" t="s">
        <v>851</v>
      </c>
      <c r="B656" s="376"/>
      <c r="C656" s="176"/>
      <c r="D656" s="482" t="s">
        <v>868</v>
      </c>
      <c r="E656" s="481" t="e" cm="1">
        <f t="array" ref="E656">Fixed_Param(673,1)</f>
        <v>#NAME?</v>
      </c>
    </row>
    <row r="657" ht="16.4" customHeight="1" spans="1:5">
      <c r="A657" s="149" t="s">
        <v>851</v>
      </c>
      <c r="B657" s="346"/>
      <c r="C657" s="176"/>
      <c r="D657" s="478" t="s">
        <v>869</v>
      </c>
      <c r="E657" s="481" t="e" cm="1">
        <f t="array" ref="E657">Fixed_Param(674,1)</f>
        <v>#NAME?</v>
      </c>
    </row>
    <row r="658" ht="16.4" customHeight="1" spans="1:5">
      <c r="A658" s="149" t="s">
        <v>851</v>
      </c>
      <c r="B658" s="346"/>
      <c r="C658" s="176"/>
      <c r="D658" s="479" t="s">
        <v>870</v>
      </c>
      <c r="E658" s="481" t="e" cm="1">
        <f t="array" ref="E658">Fixed_Param(675,1)</f>
        <v>#NAME?</v>
      </c>
    </row>
    <row r="659" ht="16.4" customHeight="1" spans="1:5">
      <c r="A659" s="149" t="s">
        <v>851</v>
      </c>
      <c r="B659" s="346"/>
      <c r="C659" s="176"/>
      <c r="D659" s="479" t="s">
        <v>871</v>
      </c>
      <c r="E659" s="481" t="e" cm="1">
        <f t="array" ref="E659">Fixed_Param(676,1)</f>
        <v>#NAME?</v>
      </c>
    </row>
    <row r="660" ht="16.4" customHeight="1" spans="1:5">
      <c r="A660" s="149" t="s">
        <v>851</v>
      </c>
      <c r="B660" s="346"/>
      <c r="C660" s="176"/>
      <c r="D660" s="479" t="s">
        <v>872</v>
      </c>
      <c r="E660" s="481" t="e" cm="1">
        <f t="array" ref="E660">Fixed_Param(677,1)</f>
        <v>#NAME?</v>
      </c>
    </row>
    <row r="661" ht="16.4" customHeight="1" spans="1:5">
      <c r="A661" s="149" t="s">
        <v>851</v>
      </c>
      <c r="B661" s="346"/>
      <c r="C661" s="176"/>
      <c r="D661" s="479" t="s">
        <v>873</v>
      </c>
      <c r="E661" s="481" t="e" cm="1">
        <f t="array" ref="E661">Fixed_Param(678,1)</f>
        <v>#NAME?</v>
      </c>
    </row>
    <row r="662" ht="16.4" customHeight="1" spans="1:5">
      <c r="A662" s="149" t="s">
        <v>851</v>
      </c>
      <c r="B662" s="346"/>
      <c r="C662" s="176"/>
      <c r="D662" s="479" t="s">
        <v>874</v>
      </c>
      <c r="E662" s="481" t="e" cm="1">
        <f t="array" ref="E662">Fixed_Param(679,1)</f>
        <v>#NAME?</v>
      </c>
    </row>
    <row r="663" ht="16.4" customHeight="1" spans="1:5">
      <c r="A663" s="149" t="s">
        <v>851</v>
      </c>
      <c r="B663" s="346"/>
      <c r="C663" s="176"/>
      <c r="D663" s="479" t="s">
        <v>875</v>
      </c>
      <c r="E663" s="481" t="e" cm="1">
        <f t="array" ref="E663">Fixed_Param(680,1)</f>
        <v>#NAME?</v>
      </c>
    </row>
    <row r="664" ht="16.4" customHeight="1" spans="1:5">
      <c r="A664" s="149" t="s">
        <v>851</v>
      </c>
      <c r="B664" s="346"/>
      <c r="C664" s="176"/>
      <c r="D664" s="479" t="s">
        <v>876</v>
      </c>
      <c r="E664" s="481" t="e" cm="1">
        <f t="array" ref="E664">Fixed_Param(681,1)</f>
        <v>#NAME?</v>
      </c>
    </row>
    <row r="665" ht="16.4" customHeight="1" spans="1:5">
      <c r="A665" s="149" t="s">
        <v>851</v>
      </c>
      <c r="B665" s="346"/>
      <c r="C665" s="176"/>
      <c r="D665" s="479" t="s">
        <v>877</v>
      </c>
      <c r="E665" s="481" t="e" cm="1">
        <f t="array" ref="E665">Fixed_Param(682,1)</f>
        <v>#NAME?</v>
      </c>
    </row>
    <row r="666" ht="16.4" customHeight="1" spans="1:5">
      <c r="A666" s="149" t="s">
        <v>851</v>
      </c>
      <c r="B666" s="347"/>
      <c r="C666" s="193"/>
      <c r="D666" s="483" t="s">
        <v>878</v>
      </c>
      <c r="E666" s="481" t="e" cm="1">
        <f t="array" ref="E666">Fixed_Param(683,1)</f>
        <v>#NAME?</v>
      </c>
    </row>
    <row r="667" ht="16.4" customHeight="1" spans="1:5">
      <c r="A667" s="149" t="s">
        <v>879</v>
      </c>
      <c r="B667" s="346"/>
      <c r="C667" s="176"/>
      <c r="D667" s="484" t="s">
        <v>880</v>
      </c>
      <c r="E667" s="481" t="e" cm="1">
        <f t="array" ref="E667">Fixed_Param(689,1)</f>
        <v>#NAME?</v>
      </c>
    </row>
    <row r="668" ht="16.4" customHeight="1" spans="1:5">
      <c r="A668" s="149" t="s">
        <v>879</v>
      </c>
      <c r="B668" s="485"/>
      <c r="C668" s="167"/>
      <c r="D668" s="486" t="s">
        <v>881</v>
      </c>
      <c r="E668" s="481" t="e" cm="1">
        <f t="array" ref="E668">Fixed_Param(688,1)</f>
        <v>#NAME?</v>
      </c>
    </row>
    <row r="669" ht="16.4" customHeight="1" spans="1:5">
      <c r="A669" s="149" t="s">
        <v>879</v>
      </c>
      <c r="B669" s="346"/>
      <c r="C669" s="176"/>
      <c r="D669" s="487" t="s">
        <v>882</v>
      </c>
      <c r="E669" s="481" t="e" cm="1">
        <f t="array" ref="E669">Fixed_Param(684,1)</f>
        <v>#NAME?</v>
      </c>
    </row>
    <row r="670" ht="16.4" customHeight="1" spans="1:5">
      <c r="A670" s="149" t="s">
        <v>879</v>
      </c>
      <c r="B670" s="346"/>
      <c r="C670" s="176"/>
      <c r="D670" s="484" t="s">
        <v>883</v>
      </c>
      <c r="E670" s="481" t="e" cm="1">
        <f t="array" ref="E670">Fixed_Param(685,1)</f>
        <v>#NAME?</v>
      </c>
    </row>
    <row r="671" ht="16.4" customHeight="1" spans="1:5">
      <c r="A671" s="149" t="s">
        <v>879</v>
      </c>
      <c r="B671" s="346"/>
      <c r="C671" s="176"/>
      <c r="D671" s="487" t="s">
        <v>884</v>
      </c>
      <c r="E671" s="481" t="e" cm="1">
        <f t="array" ref="E671">Fixed_Param(686,1)</f>
        <v>#NAME?</v>
      </c>
    </row>
    <row r="672" ht="16.4" customHeight="1" spans="1:5">
      <c r="A672" s="149" t="s">
        <v>879</v>
      </c>
      <c r="B672" s="346"/>
      <c r="C672" s="176"/>
      <c r="D672" s="487" t="s">
        <v>885</v>
      </c>
      <c r="E672" s="481" t="e" cm="1">
        <f t="array" ref="E672">Fixed_Param(687,1)</f>
        <v>#NAME?</v>
      </c>
    </row>
    <row r="673" ht="16.4" customHeight="1" spans="1:18">
      <c r="A673" s="149" t="s">
        <v>886</v>
      </c>
      <c r="B673" s="347"/>
      <c r="C673" s="193"/>
      <c r="D673" s="488" t="s">
        <v>887</v>
      </c>
      <c r="E673" s="481" t="e" cm="1">
        <f t="array" ref="E673">Fixed_Param(690,1)</f>
        <v>#NAME?</v>
      </c>
    </row>
    <row r="674" ht="16.4" customHeight="1" spans="1:18">
      <c r="A674" s="149" t="s">
        <v>886</v>
      </c>
      <c r="B674" s="347"/>
      <c r="C674" s="193"/>
      <c r="D674" s="488" t="s">
        <v>888</v>
      </c>
      <c r="E674" s="481" t="e" cm="1">
        <f t="array" ref="E674">Fixed_Param(691,1)</f>
        <v>#NAME?</v>
      </c>
    </row>
    <row r="675" ht="16.4" customHeight="1" spans="1:18">
      <c r="A675" s="149" t="s">
        <v>886</v>
      </c>
      <c r="B675" s="351"/>
      <c r="C675" s="183"/>
      <c r="D675" s="489" t="s">
        <v>889</v>
      </c>
      <c r="E675" s="290" t="e" cm="1">
        <f t="array" ref="E675">Fixed_Param(692,1)</f>
        <v>#NAME?</v>
      </c>
    </row>
    <row r="676" ht="16.4" customHeight="1" spans="1:18">
      <c r="A676" s="15"/>
      <c r="B676" s="63"/>
      <c r="C676" s="17"/>
      <c r="D676" s="16"/>
      <c r="E676" s="101"/>
    </row>
    <row r="677" ht="16.4" customHeight="1" spans="1:18">
      <c r="A677" s="1" t="s">
        <v>373</v>
      </c>
      <c r="B677" s="53" t="s">
        <v>890</v>
      </c>
      <c r="C677" s="90"/>
      <c r="D677" s="119"/>
      <c r="E677" s="304"/>
      <c r="F677" s="3"/>
      <c r="G677" s="3"/>
      <c r="H677" s="3"/>
    </row>
    <row r="678" ht="16.4" customHeight="1" spans="1:18">
      <c r="A678" s="1" t="s">
        <v>373</v>
      </c>
      <c r="B678" s="60"/>
      <c r="C678" s="33"/>
      <c r="D678" s="87" t="s">
        <v>891</v>
      </c>
      <c r="E678" s="490" t="e" cm="1">
        <f t="array" ref="E678">IF(OR(VD(51)="EVC1",VD(51)="EVC1P_RTMV2"),IF(n_eqpt=0,0,Fixed_Param(500,1)),Fixed_Param(500,1))</f>
        <v>#NAME?</v>
      </c>
      <c r="F678" s="3"/>
      <c r="G678" s="3"/>
      <c r="H678" s="3"/>
    </row>
    <row r="679" ht="16.4" customHeight="1" spans="1:18">
      <c r="A679" s="1" t="s">
        <v>797</v>
      </c>
      <c r="B679" s="284"/>
      <c r="C679" s="49"/>
      <c r="D679" s="225" t="s">
        <v>892</v>
      </c>
      <c r="E679" s="491" t="e" cm="1">
        <f t="array" ref="E679">IF(AND(VD(65)="MVB",OR(VD(51)="EVC1",VD(51)="EVC1P_RTMV2")),"MVB","PROFIBUS")</f>
        <v>#NAME?</v>
      </c>
      <c r="F679" s="3"/>
      <c r="G679" s="3"/>
      <c r="H679" s="3"/>
    </row>
    <row r="680" ht="16.4" customHeight="1" spans="1:18">
      <c r="A680" s="27"/>
      <c r="B680" s="16"/>
      <c r="C680" s="17"/>
      <c r="D680" s="16"/>
      <c r="E680" s="454"/>
      <c r="F680" s="3"/>
      <c r="G680" s="3"/>
      <c r="H680" s="3"/>
    </row>
    <row r="681" ht="16.4" customHeight="1" spans="1:18">
      <c r="A681" s="1" t="s">
        <v>373</v>
      </c>
      <c r="B681" s="53" t="s">
        <v>893</v>
      </c>
      <c r="C681" s="492"/>
      <c r="D681" s="55" t="s">
        <v>894</v>
      </c>
      <c r="E681" s="399">
        <f>COUNTIF(F682:I682,"&lt;&gt;-")</f>
        <v>2</v>
      </c>
      <c r="F681" s="493">
        <v>1</v>
      </c>
      <c r="G681" s="493">
        <v>2</v>
      </c>
      <c r="H681" s="493">
        <v>3</v>
      </c>
      <c r="I681" s="494">
        <v>4</v>
      </c>
      <c r="O681" s="495"/>
      <c r="P681" s="495"/>
      <c r="Q681" s="495"/>
      <c r="R681" s="495"/>
    </row>
    <row r="682" ht="16.4" customHeight="1" spans="1:18">
      <c r="A682" s="1" t="s">
        <v>797</v>
      </c>
      <c r="B682" s="60"/>
      <c r="C682" s="234"/>
      <c r="D682" s="87" t="s">
        <v>895</v>
      </c>
      <c r="E682" s="400"/>
      <c r="F682" s="235" t="e" cm="1">
        <f t="array" ref="F682">IF(AND(OR(VD(51)="EVC1",VD(51)="EVC1P_RTMV2"),VD(65)="MVB"),"TO_DRU","-")</f>
        <v>#NAME?</v>
      </c>
      <c r="G682" s="235" t="e" cm="1">
        <f t="array" ref="G682">IF(AND(OR(VD(51)="EVC1",VD(51)="EVC1P_RTMV2"),VD(65)="MVB"),"TO_JRU","-")</f>
        <v>#NAME?</v>
      </c>
      <c r="H682" s="235" t="str">
        <f>"-"</f>
        <v>-</v>
      </c>
      <c r="I682" s="84" t="str">
        <f>"-"</f>
        <v>-</v>
      </c>
      <c r="J682" s="496"/>
      <c r="O682" s="17"/>
      <c r="P682" s="17"/>
      <c r="Q682" s="3"/>
      <c r="R682" s="3"/>
    </row>
    <row r="683" ht="16.4" customHeight="1" spans="1:18">
      <c r="A683" s="1" t="s">
        <v>797</v>
      </c>
      <c r="B683" s="284"/>
      <c r="C683" s="497"/>
      <c r="D683" s="96" t="s">
        <v>896</v>
      </c>
      <c r="E683" s="498"/>
      <c r="F683" s="499" t="e" cm="1">
        <f t="array" ref="F683">IF(AND(OR(VD(51)="EVC1",VD(51)="EVC1P_RTMV2"),VD(65)="MVB"),707,"-")</f>
        <v>#NAME?</v>
      </c>
      <c r="G683" s="499" t="e" cm="1">
        <f t="array" ref="G683">IF(AND(OR(VD(51)="EVC1",VD(51)="EVC1P_RTMV2"),VD(65)="MVB"),707,"-")</f>
        <v>#NAME?</v>
      </c>
      <c r="H683" s="499" t="str">
        <f>"-"</f>
        <v>-</v>
      </c>
      <c r="I683" s="349" t="str">
        <f>"-"</f>
        <v>-</v>
      </c>
      <c r="O683" s="3"/>
      <c r="P683" s="3"/>
      <c r="Q683" s="3"/>
      <c r="R683" s="3"/>
    </row>
    <row r="684" ht="16.4" customHeight="1" spans="1:18">
      <c r="A684" s="1" t="s">
        <v>550</v>
      </c>
      <c r="B684" s="16"/>
      <c r="C684" s="17"/>
      <c r="D684" s="16"/>
      <c r="F684" s="341"/>
      <c r="G684" s="341"/>
      <c r="H684" s="341"/>
      <c r="I684" s="341"/>
    </row>
    <row r="685" ht="16.4" customHeight="1" spans="1:18">
      <c r="B685" s="190" t="s">
        <v>897</v>
      </c>
      <c r="C685" s="451"/>
      <c r="D685" s="452"/>
      <c r="E685" s="500"/>
      <c r="F685" s="501"/>
      <c r="G685" s="428"/>
      <c r="H685" s="428"/>
      <c r="I685" s="428"/>
      <c r="J685" s="428"/>
    </row>
    <row r="686" ht="16.4" customHeight="1" spans="1:18">
      <c r="A686" s="1" t="s">
        <v>898</v>
      </c>
      <c r="B686" s="502"/>
      <c r="C686" s="503"/>
      <c r="D686" s="504" t="s">
        <v>899</v>
      </c>
      <c r="E686" s="505">
        <f>COUNTIF(F687:J687,"&lt;&gt;-")</f>
        <v>5</v>
      </c>
      <c r="F686" s="506">
        <v>1</v>
      </c>
      <c r="G686" s="506">
        <v>2</v>
      </c>
      <c r="H686" s="506">
        <v>3</v>
      </c>
      <c r="I686" s="506">
        <v>4</v>
      </c>
      <c r="J686" s="507">
        <v>5</v>
      </c>
    </row>
    <row r="687" ht="16.4" customHeight="1" spans="1:18">
      <c r="A687" s="1" t="s">
        <v>171</v>
      </c>
      <c r="B687" s="48"/>
      <c r="C687" s="467"/>
      <c r="D687" s="225" t="s">
        <v>900</v>
      </c>
      <c r="E687" s="498"/>
      <c r="F687" s="508" t="e" cm="1">
        <f t="array" ref="F687">IF(ID(9991)="",Fixed_Param(161,1),ID(9991))</f>
        <v>#NAME?</v>
      </c>
      <c r="G687" s="508" t="e" cm="1">
        <f t="array" ref="G687">IF(ID(9991)="",Fixed_Param(161,2),"-")</f>
        <v>#NAME?</v>
      </c>
      <c r="H687" s="508" t="e" cm="1">
        <f t="array" ref="H687">IF(ID(9991)="",Fixed_Param(161,3),"-")</f>
        <v>#NAME?</v>
      </c>
      <c r="I687" s="508" t="e" cm="1">
        <f t="array" ref="I687">IF(ID(9991)="",Fixed_Param(161,4),"-")</f>
        <v>#NAME?</v>
      </c>
      <c r="J687" s="446" t="e" cm="1">
        <f t="array" ref="J687">IF(ID(9991)="",Fixed_Param(161,5),"-")</f>
        <v>#NAME?</v>
      </c>
    </row>
    <row r="688" ht="16.4" customHeight="1" spans="1:18">
      <c r="E688" s="341"/>
    </row>
    <row r="689" ht="16.4" customHeight="1" spans="1:5">
      <c r="A689" s="1" t="s">
        <v>428</v>
      </c>
      <c r="B689" s="53" t="s">
        <v>901</v>
      </c>
      <c r="C689" s="298"/>
      <c r="D689" s="119"/>
      <c r="E689" s="509" t="s">
        <v>902</v>
      </c>
    </row>
    <row r="690" ht="16.4" customHeight="1" spans="1:5">
      <c r="A690" s="1" t="s">
        <v>428</v>
      </c>
      <c r="B690" s="306"/>
      <c r="C690" s="42"/>
      <c r="D690" s="87" t="s">
        <v>903</v>
      </c>
      <c r="E690" s="445" t="e" cm="1">
        <f t="array" ref="E690">Default_ODO_Param(43)</f>
        <v>#NAME?</v>
      </c>
    </row>
    <row r="691" ht="16.4" customHeight="1" spans="1:5">
      <c r="A691" s="1" t="s">
        <v>428</v>
      </c>
      <c r="B691" s="306"/>
      <c r="C691" s="42"/>
      <c r="D691" s="87" t="s">
        <v>904</v>
      </c>
      <c r="E691" s="445" t="e" cm="1">
        <f t="array" ref="E691">Default_ODO_Param(44)</f>
        <v>#NAME?</v>
      </c>
    </row>
    <row r="692" ht="16.4" customHeight="1" spans="1:5">
      <c r="A692" s="1" t="s">
        <v>13</v>
      </c>
      <c r="B692" s="306"/>
      <c r="C692" s="42"/>
      <c r="D692" s="87" t="s">
        <v>905</v>
      </c>
      <c r="E692" s="445" t="e" cm="1">
        <f t="array" ref="E692">Default_ODO_Param(45)</f>
        <v>#NAME?</v>
      </c>
    </row>
    <row r="693" ht="16.4" customHeight="1" spans="1:5">
      <c r="A693" s="1" t="s">
        <v>428</v>
      </c>
      <c r="B693" s="306"/>
      <c r="C693" s="42"/>
      <c r="D693" s="87" t="s">
        <v>906</v>
      </c>
      <c r="E693" s="618" t="s">
        <v>907</v>
      </c>
    </row>
    <row r="694" ht="16.4" customHeight="1" spans="1:5">
      <c r="A694" s="1" t="s">
        <v>428</v>
      </c>
      <c r="B694" s="306"/>
      <c r="C694" s="42"/>
      <c r="D694" s="87" t="s">
        <v>908</v>
      </c>
      <c r="E694" s="445" t="e" cm="1">
        <f t="array" ref="E694">Default_ODO_Param(47)</f>
        <v>#NAME?</v>
      </c>
    </row>
    <row r="695" ht="16.4" customHeight="1" spans="1:5">
      <c r="A695" s="1" t="s">
        <v>13</v>
      </c>
      <c r="B695" s="306"/>
      <c r="C695" s="42"/>
      <c r="D695" s="87" t="s">
        <v>909</v>
      </c>
      <c r="E695" s="445" t="e" cm="1">
        <f t="array" ref="E695">Default_ODO_Param(48)</f>
        <v>#NAME?</v>
      </c>
    </row>
    <row r="696" ht="16.4" customHeight="1" spans="1:5">
      <c r="A696" s="1" t="s">
        <v>428</v>
      </c>
      <c r="B696" s="306"/>
      <c r="C696" s="42"/>
      <c r="D696" s="87" t="s">
        <v>910</v>
      </c>
      <c r="E696" s="445" t="e" cm="1">
        <f t="array" ref="E696">Default_ODO_Param(49)</f>
        <v>#NAME?</v>
      </c>
    </row>
    <row r="697" ht="16.4" customHeight="1" spans="1:5">
      <c r="A697" s="1" t="s">
        <v>428</v>
      </c>
      <c r="B697" s="306"/>
      <c r="C697" s="42"/>
      <c r="D697" s="87" t="s">
        <v>911</v>
      </c>
      <c r="E697" s="445" t="e" cm="1">
        <f t="array" ref="E697">Default_ODO_Param(50)</f>
        <v>#NAME?</v>
      </c>
    </row>
    <row r="698" ht="16.4" customHeight="1" spans="1:5">
      <c r="A698" s="1" t="s">
        <v>13</v>
      </c>
      <c r="B698" s="306"/>
      <c r="C698" s="42"/>
      <c r="D698" s="87" t="s">
        <v>912</v>
      </c>
      <c r="E698" s="445" t="e" cm="1">
        <f t="array" ref="E698">Default_ODO_Param(51)</f>
        <v>#NAME?</v>
      </c>
    </row>
    <row r="699" ht="16.4" customHeight="1" spans="1:5">
      <c r="A699" s="1" t="s">
        <v>428</v>
      </c>
      <c r="B699" s="306"/>
      <c r="C699" s="42"/>
      <c r="D699" s="87" t="s">
        <v>913</v>
      </c>
      <c r="E699" s="445" t="e" cm="1">
        <f t="array" ref="E699">Default_ODO_Param(52)</f>
        <v>#NAME?</v>
      </c>
    </row>
    <row r="700" ht="16.4" customHeight="1" spans="1:5">
      <c r="A700" s="1" t="s">
        <v>428</v>
      </c>
      <c r="B700" s="306"/>
      <c r="C700" s="42"/>
      <c r="D700" s="87" t="s">
        <v>914</v>
      </c>
      <c r="E700" s="445" t="e" cm="1">
        <f t="array" ref="E700">Default_ODO_Param(53)</f>
        <v>#NAME?</v>
      </c>
    </row>
    <row r="701" ht="16.4" customHeight="1" spans="1:5">
      <c r="A701" s="1" t="s">
        <v>13</v>
      </c>
      <c r="B701" s="306"/>
      <c r="C701" s="42"/>
      <c r="D701" s="87" t="s">
        <v>915</v>
      </c>
      <c r="E701" s="445" t="e" cm="1">
        <f t="array" ref="E701">Default_ODO_Param(54)</f>
        <v>#NAME?</v>
      </c>
    </row>
    <row r="702" ht="16.4" customHeight="1" spans="1:5">
      <c r="A702" s="1" t="s">
        <v>428</v>
      </c>
      <c r="B702" s="175"/>
      <c r="C702" s="42"/>
      <c r="D702" s="43" t="s">
        <v>916</v>
      </c>
      <c r="E702" s="445" t="e" cm="1">
        <f t="array" ref="E702">Default_ODO_Param(55)</f>
        <v>#NAME?</v>
      </c>
    </row>
    <row r="703" ht="16.4" customHeight="1" spans="1:5">
      <c r="A703" s="1" t="s">
        <v>428</v>
      </c>
      <c r="B703" s="175"/>
      <c r="C703" s="42"/>
      <c r="D703" s="43" t="s">
        <v>917</v>
      </c>
      <c r="E703" s="445" t="e" cm="1">
        <f t="array" ref="E703">Default_ODO_Param(56)</f>
        <v>#NAME?</v>
      </c>
    </row>
    <row r="704" ht="16.4" customHeight="1" spans="1:5">
      <c r="A704" s="1" t="s">
        <v>428</v>
      </c>
      <c r="B704" s="175"/>
      <c r="C704" s="42"/>
      <c r="D704" s="43" t="s">
        <v>918</v>
      </c>
      <c r="E704" s="445" t="e" cm="1">
        <f t="array" ref="E704">Default_ODO_Param(57)</f>
        <v>#NAME?</v>
      </c>
    </row>
    <row r="705" ht="16.4" customHeight="1" spans="1:10">
      <c r="A705" s="1" t="s">
        <v>428</v>
      </c>
      <c r="B705" s="510"/>
      <c r="C705" s="198"/>
      <c r="D705" s="43" t="s">
        <v>919</v>
      </c>
      <c r="E705" s="445" t="e" cm="1">
        <f t="array" ref="E705">Default_ODO_Param(58)</f>
        <v>#NAME?</v>
      </c>
    </row>
    <row r="706" ht="16.4" customHeight="1" spans="1:10">
      <c r="A706" s="1" t="s">
        <v>13</v>
      </c>
      <c r="B706" s="41"/>
      <c r="C706" s="42"/>
      <c r="D706" s="312" t="s">
        <v>920</v>
      </c>
      <c r="E706" s="445" t="e" cm="1">
        <f t="array" ref="E706">Default_ODO_Param(59)</f>
        <v>#NAME?</v>
      </c>
    </row>
    <row r="707" ht="16.4" customHeight="1" spans="1:10">
      <c r="A707" s="1" t="s">
        <v>13</v>
      </c>
      <c r="B707" s="41"/>
      <c r="C707" s="42"/>
      <c r="D707" s="312" t="s">
        <v>921</v>
      </c>
      <c r="E707" s="445" t="e" cm="1">
        <f t="array" ref="E707">Default_ODO_Param(60)</f>
        <v>#NAME?</v>
      </c>
    </row>
    <row r="708" ht="16.4" customHeight="1" spans="1:10">
      <c r="A708" s="1" t="s">
        <v>13</v>
      </c>
      <c r="B708" s="48"/>
      <c r="C708" s="59"/>
      <c r="D708" s="511" t="s">
        <v>922</v>
      </c>
      <c r="E708" s="446" t="e" cm="1">
        <f t="array" ref="E708">Default_ODO_Param(61)</f>
        <v>#NAME?</v>
      </c>
    </row>
    <row r="709" ht="16.4" customHeight="1" spans="1:10">
      <c r="A709" s="1" t="s">
        <v>923</v>
      </c>
      <c r="B709" s="454"/>
      <c r="C709" s="462"/>
      <c r="D709" s="454"/>
      <c r="E709" s="428"/>
    </row>
    <row r="710" ht="16.4" customHeight="1" spans="1:10">
      <c r="A710" s="371" t="s">
        <v>399</v>
      </c>
      <c r="B710" s="512" t="s">
        <v>924</v>
      </c>
      <c r="C710" s="513"/>
      <c r="D710" s="513"/>
      <c r="E710" s="500"/>
      <c r="F710" s="514"/>
      <c r="G710" s="514"/>
      <c r="H710" s="514"/>
      <c r="I710" s="514"/>
      <c r="J710" s="514"/>
    </row>
    <row r="711" ht="16.4" customHeight="1" spans="1:10">
      <c r="A711" s="371" t="s">
        <v>898</v>
      </c>
      <c r="B711" s="515"/>
      <c r="C711" s="403"/>
      <c r="D711" s="32" t="s">
        <v>925</v>
      </c>
      <c r="E711" s="505">
        <f>COUNTIF(F712:J712,"&lt;&gt;-")</f>
        <v>5</v>
      </c>
      <c r="F711" s="516">
        <v>1</v>
      </c>
      <c r="G711" s="516">
        <v>2</v>
      </c>
      <c r="H711" s="516">
        <v>3</v>
      </c>
      <c r="I711" s="516">
        <v>4</v>
      </c>
      <c r="J711" s="517">
        <v>5</v>
      </c>
    </row>
    <row r="712" ht="16.4" customHeight="1" spans="1:10">
      <c r="A712" s="371" t="s">
        <v>171</v>
      </c>
      <c r="B712" s="48"/>
      <c r="C712" s="467"/>
      <c r="D712" s="96" t="s">
        <v>926</v>
      </c>
      <c r="E712" s="518"/>
      <c r="F712" s="519" t="e" cm="1">
        <f t="array" ref="F712">IF(ID(9992)="",Fixed_Param(162,1),ID(9992))</f>
        <v>#NAME?</v>
      </c>
      <c r="G712" s="519" t="e" cm="1">
        <f t="array" ref="G712">IF(ID(9992)="",Fixed_Param(162,2),"-")</f>
        <v>#NAME?</v>
      </c>
      <c r="H712" s="519" t="e" cm="1">
        <f t="array" ref="H712">IF(ID(9992)="",Fixed_Param(162,3),"-")</f>
        <v>#NAME?</v>
      </c>
      <c r="I712" s="519" t="e" cm="1">
        <f t="array" ref="I712">IF(ID(9992)="",Fixed_Param(162,4),"-")</f>
        <v>#NAME?</v>
      </c>
      <c r="J712" s="520" t="e" cm="1">
        <f t="array" ref="J712">IF(ID(9992)="",Fixed_Param(162,5),"-")</f>
        <v>#NAME?</v>
      </c>
    </row>
    <row r="713" ht="16.4" customHeight="1" spans="1:10">
      <c r="C713" s="2"/>
      <c r="D713" s="16"/>
    </row>
    <row r="714" ht="16.4" customHeight="1" spans="1:10">
      <c r="A714" s="1" t="s">
        <v>927</v>
      </c>
      <c r="B714" s="190" t="s">
        <v>928</v>
      </c>
      <c r="C714" s="451"/>
      <c r="D714" s="451"/>
      <c r="E714" s="500"/>
    </row>
    <row r="715" ht="16.4" customHeight="1" spans="1:10">
      <c r="A715" s="1" t="s">
        <v>929</v>
      </c>
      <c r="B715" s="348"/>
      <c r="C715" s="407"/>
      <c r="D715" s="521" t="s">
        <v>930</v>
      </c>
      <c r="E715" s="334" t="e" cm="1">
        <f t="array" ref="E715">IF(VD(51)="EVC1P_RTMV2",dc(109),dc(107))</f>
        <v>#NAME?</v>
      </c>
    </row>
    <row r="716" ht="16.4" customHeight="1"/>
    <row r="717" ht="16.4" customHeight="1" spans="1:10">
      <c r="A717" s="1" t="s">
        <v>931</v>
      </c>
      <c r="B717" s="53" t="s">
        <v>932</v>
      </c>
      <c r="C717" s="298"/>
      <c r="D717" s="119"/>
      <c r="E717" s="509" t="s">
        <v>902</v>
      </c>
    </row>
    <row r="718" ht="16.4" customHeight="1" spans="1:10">
      <c r="A718" s="1" t="s">
        <v>931</v>
      </c>
      <c r="B718" s="306"/>
      <c r="C718" s="42"/>
      <c r="D718" s="87" t="s">
        <v>933</v>
      </c>
      <c r="E718" s="445" t="e" cm="1">
        <f t="array" ref="E718">IF(ID(7900)="Used","TRUE","FALSE")</f>
        <v>#NAME?</v>
      </c>
    </row>
    <row r="719" ht="16.4" customHeight="1" spans="1:10">
      <c r="A719" s="1" t="s">
        <v>934</v>
      </c>
      <c r="B719" s="306"/>
      <c r="C719" s="42"/>
      <c r="D719" s="87" t="s">
        <v>935</v>
      </c>
      <c r="E719" s="522" t="e" cm="1">
        <f t="array" ref="E719">IF(ID(7900)="Used",STM_index("STM_INT_ATC2","INTERNAL"),1)</f>
        <v>#NAME?</v>
      </c>
    </row>
    <row r="720" ht="16.4" customHeight="1" spans="1:10">
      <c r="A720" s="1" t="s">
        <v>936</v>
      </c>
      <c r="B720" s="308"/>
      <c r="C720" s="59"/>
      <c r="D720" s="225" t="s">
        <v>937</v>
      </c>
      <c r="E720" s="446" t="e" cm="1">
        <f t="array" ref="E720">IF(dc(3130)="CORE + STM_INT_ATC2","TRUE","FALSE")</f>
        <v>#NAME?</v>
      </c>
    </row>
    <row r="721" ht="16.4" customHeight="1" spans="1:9">
      <c r="B721" s="523"/>
      <c r="D721" s="16"/>
    </row>
    <row r="722" ht="16.4" customHeight="1" spans="1:9">
      <c r="A722" s="1" t="s">
        <v>831</v>
      </c>
      <c r="B722" s="190" t="s">
        <v>938</v>
      </c>
      <c r="C722" s="451"/>
      <c r="D722" s="451"/>
      <c r="E722" s="500"/>
    </row>
    <row r="723" ht="16.4" customHeight="1" spans="1:9">
      <c r="A723" s="1" t="s">
        <v>939</v>
      </c>
      <c r="B723" s="60"/>
      <c r="C723" s="33"/>
      <c r="D723" s="87" t="s">
        <v>940</v>
      </c>
      <c r="E723" s="524" t="e" cm="1">
        <f t="array" ref="E723">IF(VD(53)="","FALSE",VD(53))</f>
        <v>#NAME?</v>
      </c>
    </row>
    <row r="724" ht="16.4" customHeight="1" spans="1:9">
      <c r="A724" s="1" t="s">
        <v>831</v>
      </c>
      <c r="B724" s="284"/>
      <c r="C724" s="49"/>
      <c r="D724" s="225" t="s">
        <v>941</v>
      </c>
      <c r="E724" s="525" t="e" cm="1">
        <f t="array" ref="E724">Fixed_Param(950,1)</f>
        <v>#NAME?</v>
      </c>
    </row>
    <row r="725" ht="16.4" customHeight="1" spans="1:9">
      <c r="C725" s="2"/>
    </row>
    <row r="726" ht="16.4" customHeight="1" spans="1:9">
      <c r="A726" s="1" t="s">
        <v>494</v>
      </c>
      <c r="B726" s="57" t="s">
        <v>942</v>
      </c>
      <c r="E726" s="336"/>
      <c r="F726" s="3"/>
      <c r="G726" s="3"/>
      <c r="H726" s="3"/>
    </row>
    <row r="727" ht="16.4" customHeight="1" spans="1:9">
      <c r="A727" s="1" t="s">
        <v>494</v>
      </c>
      <c r="B727" s="196"/>
      <c r="C727" s="108"/>
      <c r="D727" s="335"/>
      <c r="E727" s="336"/>
      <c r="F727" s="3"/>
      <c r="G727" s="3"/>
      <c r="H727" s="3"/>
    </row>
    <row r="728" ht="16.4" customHeight="1" spans="1:9">
      <c r="A728" s="1" t="s">
        <v>494</v>
      </c>
      <c r="B728" s="190" t="s">
        <v>496</v>
      </c>
      <c r="C728" s="163"/>
      <c r="D728" s="164"/>
      <c r="E728" s="526" t="s">
        <v>902</v>
      </c>
      <c r="F728" s="527"/>
      <c r="G728" s="3"/>
      <c r="H728" s="3"/>
    </row>
    <row r="729" ht="16.4" customHeight="1" spans="1:9">
      <c r="A729" s="1" t="s">
        <v>943</v>
      </c>
      <c r="B729" s="346"/>
      <c r="C729" s="176"/>
      <c r="D729" s="132" t="s">
        <v>90</v>
      </c>
      <c r="E729" s="358"/>
      <c r="F729" s="528" t="s">
        <v>498</v>
      </c>
      <c r="G729" s="529" t="s">
        <v>499</v>
      </c>
      <c r="H729" s="3"/>
    </row>
    <row r="730" ht="16.4" customHeight="1" spans="1:9">
      <c r="A730" s="1" t="s">
        <v>494</v>
      </c>
      <c r="B730" s="175"/>
      <c r="C730" s="176"/>
      <c r="D730" s="361" t="s">
        <v>944</v>
      </c>
      <c r="E730" s="362"/>
      <c r="F730" s="238" t="e" cm="1">
        <f t="array" ref="F730">Default_GEOS_Param(2)</f>
        <v>#NAME?</v>
      </c>
      <c r="G730" s="239" t="e" cm="1">
        <f t="array" ref="G730">Default_GEOS_Param(7)</f>
        <v>#NAME?</v>
      </c>
      <c r="H730" s="495"/>
      <c r="I730" s="495"/>
    </row>
    <row r="731" ht="16.4" customHeight="1" spans="1:9">
      <c r="A731" s="1" t="s">
        <v>494</v>
      </c>
      <c r="B731" s="175"/>
      <c r="C731" s="176"/>
      <c r="D731" s="361" t="s">
        <v>945</v>
      </c>
      <c r="E731" s="362"/>
      <c r="F731" s="238" t="e" cm="1">
        <f t="array" ref="F731">Default_GEOS_Param(3)</f>
        <v>#NAME?</v>
      </c>
      <c r="G731" s="239" t="e" cm="1">
        <f t="array" ref="G731">Default_GEOS_Param(8)</f>
        <v>#NAME?</v>
      </c>
      <c r="H731" s="495"/>
      <c r="I731" s="495"/>
    </row>
    <row r="732" ht="16.4" customHeight="1" spans="1:9">
      <c r="A732" s="1" t="s">
        <v>494</v>
      </c>
      <c r="B732" s="175"/>
      <c r="C732" s="176"/>
      <c r="D732" s="361" t="s">
        <v>946</v>
      </c>
      <c r="E732" s="362"/>
      <c r="F732" s="238" t="e" cm="1">
        <f t="array" ref="F732">Default_GEOS_Param(4)</f>
        <v>#NAME?</v>
      </c>
      <c r="G732" s="239" t="e" cm="1">
        <f t="array" ref="G732">Default_GEOS_Param(9)</f>
        <v>#NAME?</v>
      </c>
      <c r="H732" s="495"/>
      <c r="I732" s="495"/>
    </row>
    <row r="733" ht="16.4" customHeight="1" spans="1:9">
      <c r="A733" s="1" t="s">
        <v>494</v>
      </c>
      <c r="B733" s="175"/>
      <c r="C733" s="176"/>
      <c r="D733" s="361" t="s">
        <v>947</v>
      </c>
      <c r="E733" s="362"/>
      <c r="F733" s="238" t="e" cm="1">
        <f t="array" ref="F733">Default_GEOS_Param(5)</f>
        <v>#NAME?</v>
      </c>
      <c r="G733" s="239" t="e" cm="1">
        <f t="array" ref="G733">Default_GEOS_Param(10)</f>
        <v>#NAME?</v>
      </c>
      <c r="H733" s="495"/>
      <c r="I733" s="495"/>
    </row>
    <row r="734" ht="16.4" customHeight="1" spans="1:9">
      <c r="A734" s="1" t="s">
        <v>948</v>
      </c>
      <c r="B734" s="175"/>
      <c r="C734" s="176"/>
      <c r="D734" s="361" t="s">
        <v>949</v>
      </c>
      <c r="E734" s="362"/>
      <c r="F734" s="238" t="e" cm="1">
        <f t="array" ref="F734">Default_ODO_Param(118)</f>
        <v>#NAME?</v>
      </c>
      <c r="G734" s="239" t="e" cm="1">
        <f t="array" ref="G734">Default_ODO_Param(118)</f>
        <v>#NAME?</v>
      </c>
      <c r="H734" s="3"/>
    </row>
    <row r="735" ht="16.4" customHeight="1" spans="1:9">
      <c r="A735" s="1" t="s">
        <v>448</v>
      </c>
      <c r="B735" s="175"/>
      <c r="C735" s="176"/>
      <c r="D735" s="361" t="s">
        <v>950</v>
      </c>
      <c r="E735" s="362"/>
      <c r="F735" s="238" t="e" cm="1">
        <f t="array" ref="F735">Default_WS_Param(10,1)</f>
        <v>#NAME?</v>
      </c>
      <c r="G735" s="239" t="e" cm="1">
        <f t="array" ref="G735">Default_WS_Param(10,2)</f>
        <v>#NAME?</v>
      </c>
      <c r="H735" s="495"/>
      <c r="I735" s="495"/>
    </row>
    <row r="736" ht="16.4" customHeight="1" spans="1:9">
      <c r="A736" s="1" t="s">
        <v>448</v>
      </c>
      <c r="B736" s="175"/>
      <c r="C736" s="176"/>
      <c r="D736" s="361" t="s">
        <v>951</v>
      </c>
      <c r="E736" s="362"/>
      <c r="F736" s="238" t="e" cm="1">
        <f t="array" ref="F736">Default_WS_Param(11,1)</f>
        <v>#NAME?</v>
      </c>
      <c r="G736" s="239" t="e" cm="1">
        <f t="array" ref="G736">Default_WS_Param(11,2)</f>
        <v>#NAME?</v>
      </c>
      <c r="H736" s="495"/>
      <c r="I736" s="495"/>
    </row>
    <row r="737" ht="16.4" customHeight="1" spans="1:9">
      <c r="A737" s="1" t="s">
        <v>448</v>
      </c>
      <c r="B737" s="175"/>
      <c r="C737" s="176"/>
      <c r="D737" s="361" t="s">
        <v>952</v>
      </c>
      <c r="E737" s="362"/>
      <c r="F737" s="238" t="e" cm="1">
        <f t="array" ref="F737">Default_WS_Param(12,1)</f>
        <v>#NAME?</v>
      </c>
      <c r="G737" s="239" t="e" cm="1">
        <f t="array" ref="G737">Default_WS_Param(12,2)</f>
        <v>#NAME?</v>
      </c>
      <c r="H737" s="495"/>
      <c r="I737" s="495"/>
    </row>
    <row r="738" ht="16.4" customHeight="1" spans="1:9">
      <c r="A738" s="1" t="s">
        <v>448</v>
      </c>
      <c r="B738" s="175"/>
      <c r="C738" s="176"/>
      <c r="D738" s="361" t="s">
        <v>953</v>
      </c>
      <c r="E738" s="362"/>
      <c r="F738" s="238" t="e" cm="1">
        <f t="array" ref="F738">Default_WS_Param(13,1)</f>
        <v>#NAME?</v>
      </c>
      <c r="G738" s="239" t="e" cm="1">
        <f t="array" ref="G738">Default_WS_Param(13,2)</f>
        <v>#NAME?</v>
      </c>
      <c r="H738" s="495"/>
      <c r="I738" s="495"/>
    </row>
    <row r="739" ht="16.4" customHeight="1" spans="1:9">
      <c r="A739" s="1" t="s">
        <v>448</v>
      </c>
      <c r="B739" s="175"/>
      <c r="C739" s="176"/>
      <c r="D739" s="361" t="s">
        <v>954</v>
      </c>
      <c r="E739" s="362"/>
      <c r="F739" s="238" t="e" cm="1">
        <f t="array" ref="F739">Default_WS_Param(14,1)</f>
        <v>#NAME?</v>
      </c>
      <c r="G739" s="239" t="e" cm="1">
        <f t="array" ref="G739">Default_WS_Param(14,2)</f>
        <v>#NAME?</v>
      </c>
      <c r="H739" s="495"/>
      <c r="I739" s="495"/>
    </row>
    <row r="740" ht="16.4" customHeight="1" spans="1:9">
      <c r="A740" s="1" t="s">
        <v>955</v>
      </c>
      <c r="B740" s="182"/>
      <c r="C740" s="183"/>
      <c r="D740" s="363" t="s">
        <v>956</v>
      </c>
      <c r="E740" s="364"/>
      <c r="F740" s="253" t="e" cm="1">
        <f t="array" ref="F740">Default_WS_Param(16,1)</f>
        <v>#NAME?</v>
      </c>
      <c r="G740" s="254" t="e" cm="1">
        <f t="array" ref="G740">Default_WS_Param(16,2)</f>
        <v>#NAME?</v>
      </c>
      <c r="H740" s="3"/>
    </row>
    <row r="741" ht="16.4" customHeight="1" spans="1:9">
      <c r="B741" s="196"/>
      <c r="C741" s="108"/>
      <c r="D741" s="335"/>
      <c r="E741" s="336"/>
      <c r="H741" s="3"/>
    </row>
    <row r="742" ht="16.4" customHeight="1" spans="1:9">
      <c r="A742" s="1" t="s">
        <v>494</v>
      </c>
      <c r="B742" s="190" t="s">
        <v>512</v>
      </c>
      <c r="C742" s="163"/>
      <c r="D742" s="164"/>
      <c r="E742" s="526" t="s">
        <v>902</v>
      </c>
      <c r="F742" s="280"/>
      <c r="H742" s="3"/>
    </row>
    <row r="743" ht="16.4" customHeight="1" spans="1:9">
      <c r="A743" s="1" t="s">
        <v>494</v>
      </c>
      <c r="B743" s="346"/>
      <c r="C743" s="176"/>
      <c r="D743" s="132" t="s">
        <v>90</v>
      </c>
      <c r="E743" s="358"/>
      <c r="F743" s="530" t="s">
        <v>513</v>
      </c>
      <c r="G743" s="531" t="s">
        <v>514</v>
      </c>
      <c r="H743" s="3"/>
    </row>
    <row r="744" ht="16.4" customHeight="1" spans="1:9">
      <c r="A744" s="1" t="s">
        <v>494</v>
      </c>
      <c r="B744" s="175"/>
      <c r="C744" s="176"/>
      <c r="D744" s="361" t="s">
        <v>957</v>
      </c>
      <c r="E744" s="362"/>
      <c r="F744" s="238" t="e" cm="1">
        <f t="array" ref="F744">Default_GEOS_Param(12)</f>
        <v>#NAME?</v>
      </c>
      <c r="G744" s="239" t="e" cm="1">
        <f t="array" ref="G744">Default_GEOS_Param(17)</f>
        <v>#NAME?</v>
      </c>
      <c r="H744" s="3"/>
    </row>
    <row r="745" ht="16.4" customHeight="1" spans="1:9">
      <c r="A745" s="1" t="s">
        <v>494</v>
      </c>
      <c r="B745" s="175"/>
      <c r="C745" s="176"/>
      <c r="D745" s="361" t="s">
        <v>958</v>
      </c>
      <c r="E745" s="362"/>
      <c r="F745" s="238" t="e" cm="1">
        <f t="array" ref="F745">Default_GEOS_Param(13)</f>
        <v>#NAME?</v>
      </c>
      <c r="G745" s="239" t="e" cm="1">
        <f t="array" ref="G745">Default_GEOS_Param(18)</f>
        <v>#NAME?</v>
      </c>
      <c r="H745" s="3"/>
    </row>
    <row r="746" ht="16.4" customHeight="1" spans="1:9">
      <c r="A746" s="1" t="s">
        <v>494</v>
      </c>
      <c r="B746" s="175"/>
      <c r="C746" s="176"/>
      <c r="D746" s="361" t="s">
        <v>959</v>
      </c>
      <c r="E746" s="362"/>
      <c r="F746" s="238" t="e" cm="1">
        <f t="array" ref="F746">Default_GEOS_Param(14)</f>
        <v>#NAME?</v>
      </c>
      <c r="G746" s="239" t="e" cm="1">
        <f t="array" ref="G746">Default_GEOS_Param(19)</f>
        <v>#NAME?</v>
      </c>
      <c r="H746" s="3"/>
    </row>
    <row r="747" ht="16.4" customHeight="1" spans="1:9">
      <c r="A747" s="1" t="s">
        <v>494</v>
      </c>
      <c r="B747" s="175"/>
      <c r="C747" s="176"/>
      <c r="D747" s="361" t="s">
        <v>960</v>
      </c>
      <c r="E747" s="362"/>
      <c r="F747" s="238" t="e" cm="1">
        <f t="array" ref="F747">Default_GEOS_Param(15)</f>
        <v>#NAME?</v>
      </c>
      <c r="G747" s="239" t="e" cm="1">
        <f t="array" ref="G747">Default_GEOS_Param(20)</f>
        <v>#NAME?</v>
      </c>
      <c r="H747" s="3"/>
    </row>
    <row r="748" ht="16.4" customHeight="1" spans="1:9">
      <c r="A748" s="1" t="s">
        <v>948</v>
      </c>
      <c r="B748" s="175"/>
      <c r="C748" s="176"/>
      <c r="D748" s="361" t="s">
        <v>961</v>
      </c>
      <c r="E748" s="362"/>
      <c r="F748" s="238" t="e" cm="1">
        <f t="array" ref="F748">Default_ODO_Param(119)</f>
        <v>#NAME?</v>
      </c>
      <c r="G748" s="239" t="e" cm="1">
        <f t="array" ref="G748">Default_ODO_Param(119)</f>
        <v>#NAME?</v>
      </c>
      <c r="H748" s="3"/>
    </row>
    <row r="749" ht="16.4" customHeight="1" spans="1:9">
      <c r="A749" s="1" t="s">
        <v>448</v>
      </c>
      <c r="B749" s="175"/>
      <c r="C749" s="176"/>
      <c r="D749" s="361" t="s">
        <v>962</v>
      </c>
      <c r="E749" s="362"/>
      <c r="F749" s="238" t="e" cm="1">
        <f t="array" ref="F749">Default_RADAR_Param(4,1)</f>
        <v>#NAME?</v>
      </c>
      <c r="G749" s="239" t="e" cm="1">
        <f t="array" ref="G749">Default_RADAR_Param(4,2)</f>
        <v>#NAME?</v>
      </c>
      <c r="H749" s="3"/>
    </row>
    <row r="750" ht="16.4" customHeight="1" spans="1:9">
      <c r="A750" s="1" t="s">
        <v>448</v>
      </c>
      <c r="B750" s="175"/>
      <c r="C750" s="176"/>
      <c r="D750" s="361" t="s">
        <v>963</v>
      </c>
      <c r="E750" s="362"/>
      <c r="F750" s="238" t="e" cm="1">
        <f t="array" ref="F750">Default_RADAR_Param(5,1)</f>
        <v>#NAME?</v>
      </c>
      <c r="G750" s="239" t="e" cm="1">
        <f t="array" ref="G750">Default_RADAR_Param(5,2)</f>
        <v>#NAME?</v>
      </c>
      <c r="H750" s="3"/>
    </row>
    <row r="751" ht="16.4" customHeight="1" spans="1:9">
      <c r="A751" s="1" t="s">
        <v>448</v>
      </c>
      <c r="B751" s="175"/>
      <c r="C751" s="176"/>
      <c r="D751" s="361" t="s">
        <v>964</v>
      </c>
      <c r="E751" s="362"/>
      <c r="F751" s="238" t="e" cm="1">
        <f t="array" ref="F751">Default_RADAR_Param(6,1)</f>
        <v>#NAME?</v>
      </c>
      <c r="G751" s="239" t="e" cm="1">
        <f t="array" ref="G751">Default_RADAR_Param(6,2)</f>
        <v>#NAME?</v>
      </c>
      <c r="H751" s="3"/>
    </row>
    <row r="752" ht="16.4" customHeight="1" spans="1:9">
      <c r="A752" s="1" t="s">
        <v>448</v>
      </c>
      <c r="B752" s="175"/>
      <c r="C752" s="176"/>
      <c r="D752" s="361" t="s">
        <v>965</v>
      </c>
      <c r="E752" s="362"/>
      <c r="F752" s="238" t="e" cm="1">
        <f t="array" ref="F752">Default_RADAR_Param(7,1)</f>
        <v>#NAME?</v>
      </c>
      <c r="G752" s="239" t="e" cm="1">
        <f t="array" ref="G752">Default_RADAR_Param(7,2)</f>
        <v>#NAME?</v>
      </c>
      <c r="H752" s="3"/>
    </row>
    <row r="753" ht="16.4" customHeight="1" spans="1:8">
      <c r="A753" s="1" t="s">
        <v>448</v>
      </c>
      <c r="B753" s="175"/>
      <c r="C753" s="176"/>
      <c r="D753" s="361" t="s">
        <v>966</v>
      </c>
      <c r="E753" s="362"/>
      <c r="F753" s="238" t="e" cm="1">
        <f t="array" ref="F753">Default_RADAR_Param(8,1)</f>
        <v>#NAME?</v>
      </c>
      <c r="G753" s="239" t="e" cm="1">
        <f t="array" ref="G753">Default_RADAR_Param(8,2)</f>
        <v>#NAME?</v>
      </c>
      <c r="H753" s="3"/>
    </row>
    <row r="754" ht="16.4" customHeight="1" spans="1:8">
      <c r="A754" s="1" t="s">
        <v>448</v>
      </c>
      <c r="B754" s="175"/>
      <c r="C754" s="176"/>
      <c r="D754" s="361" t="s">
        <v>967</v>
      </c>
      <c r="E754" s="362"/>
      <c r="F754" s="238" t="e" cm="1">
        <f t="array" ref="F754">Default_RADAR_Param(9,1)</f>
        <v>#NAME?</v>
      </c>
      <c r="G754" s="239" t="e" cm="1">
        <f t="array" ref="G754">Default_RADAR_Param(9,2)</f>
        <v>#NAME?</v>
      </c>
      <c r="H754" s="3"/>
    </row>
    <row r="755" ht="16.4" customHeight="1" spans="1:8">
      <c r="A755" s="1" t="s">
        <v>448</v>
      </c>
      <c r="B755" s="175"/>
      <c r="C755" s="176"/>
      <c r="D755" s="361" t="s">
        <v>968</v>
      </c>
      <c r="E755" s="362"/>
      <c r="F755" s="238" t="e" cm="1">
        <f t="array" ref="F755">Default_RADAR_Param(10,1)</f>
        <v>#NAME?</v>
      </c>
      <c r="G755" s="239" t="e" cm="1">
        <f t="array" ref="G755">Default_RADAR_Param(10,2)</f>
        <v>#NAME?</v>
      </c>
      <c r="H755" s="3"/>
    </row>
    <row r="756" ht="16.4" customHeight="1" spans="1:8">
      <c r="A756" s="1" t="s">
        <v>448</v>
      </c>
      <c r="B756" s="175"/>
      <c r="C756" s="176"/>
      <c r="D756" s="361" t="s">
        <v>969</v>
      </c>
      <c r="E756" s="362"/>
      <c r="F756" s="238" t="e" cm="1">
        <f t="array" ref="F756">Default_RADAR_Param(11,1)</f>
        <v>#NAME?</v>
      </c>
      <c r="G756" s="239" t="e" cm="1">
        <f t="array" ref="G756">Default_RADAR_Param(11,2)</f>
        <v>#NAME?</v>
      </c>
      <c r="H756" s="3"/>
    </row>
    <row r="757" ht="16.4" customHeight="1" spans="1:8">
      <c r="A757" s="1" t="s">
        <v>448</v>
      </c>
      <c r="B757" s="175"/>
      <c r="C757" s="176"/>
      <c r="D757" s="361" t="s">
        <v>970</v>
      </c>
      <c r="E757" s="362"/>
      <c r="F757" s="238" t="e" cm="1">
        <f t="array" ref="F757">Default_RADAR_Param(12,1)</f>
        <v>#NAME?</v>
      </c>
      <c r="G757" s="239" t="e" cm="1">
        <f t="array" ref="G757">Default_RADAR_Param(12,2)</f>
        <v>#NAME?</v>
      </c>
      <c r="H757" s="3"/>
    </row>
    <row r="758" ht="16.4" customHeight="1" spans="1:8">
      <c r="A758" s="1" t="s">
        <v>448</v>
      </c>
      <c r="B758" s="175"/>
      <c r="C758" s="176"/>
      <c r="D758" s="361" t="s">
        <v>971</v>
      </c>
      <c r="E758" s="362"/>
      <c r="F758" s="238" t="e" cm="1">
        <f t="array" ref="F758">Default_RADAR_Param(13,1)</f>
        <v>#NAME?</v>
      </c>
      <c r="G758" s="239" t="e" cm="1">
        <f t="array" ref="G758">Default_RADAR_Param(13,2)</f>
        <v>#NAME?</v>
      </c>
      <c r="H758" s="3"/>
    </row>
    <row r="759" ht="16.4" customHeight="1" spans="1:8">
      <c r="A759" s="1" t="s">
        <v>931</v>
      </c>
      <c r="B759" s="175"/>
      <c r="C759" s="176"/>
      <c r="D759" s="361" t="s">
        <v>972</v>
      </c>
      <c r="E759" s="362"/>
      <c r="F759" s="238" t="e" cm="1">
        <f t="array" ref="F759">Default_RADAR_Param(61,1)</f>
        <v>#NAME?</v>
      </c>
      <c r="G759" s="239" t="e" cm="1">
        <f t="array" ref="G759">Default_RADAR_Param(61,2)</f>
        <v>#NAME?</v>
      </c>
      <c r="H759" s="3"/>
    </row>
    <row r="760" ht="16.4" customHeight="1" spans="1:8">
      <c r="A760" s="1" t="s">
        <v>973</v>
      </c>
      <c r="B760" s="175"/>
      <c r="C760" s="176"/>
      <c r="D760" s="361" t="s">
        <v>974</v>
      </c>
      <c r="E760" s="362"/>
      <c r="F760" s="238" t="e" cm="1">
        <f t="array" ref="F760">Default_RADAR_Param(14,1)</f>
        <v>#NAME?</v>
      </c>
      <c r="G760" s="239" t="e" cm="1">
        <f t="array" ref="G760">Default_RADAR_Param(14,2)</f>
        <v>#NAME?</v>
      </c>
      <c r="H760" s="3"/>
    </row>
    <row r="761" ht="16.4" customHeight="1" spans="1:8">
      <c r="A761" s="1" t="s">
        <v>973</v>
      </c>
      <c r="B761" s="175"/>
      <c r="C761" s="176"/>
      <c r="D761" s="361" t="s">
        <v>975</v>
      </c>
      <c r="E761" s="362"/>
      <c r="F761" s="238" t="e" cm="1">
        <f t="array" ref="F761">Default_RADAR_Param(15,1)</f>
        <v>#NAME?</v>
      </c>
      <c r="G761" s="239" t="e" cm="1">
        <f t="array" ref="G761">Default_RADAR_Param(15,2)</f>
        <v>#NAME?</v>
      </c>
      <c r="H761" s="3"/>
    </row>
    <row r="762" ht="16.4" customHeight="1" spans="1:8">
      <c r="A762" s="1" t="s">
        <v>973</v>
      </c>
      <c r="B762" s="175"/>
      <c r="C762" s="176"/>
      <c r="D762" s="361" t="s">
        <v>976</v>
      </c>
      <c r="E762" s="532"/>
      <c r="F762" s="238" t="e" cm="1">
        <f t="array" ref="F762">Default_RADAR_Param(16,1)</f>
        <v>#NAME?</v>
      </c>
      <c r="G762" s="239" t="e" cm="1">
        <f t="array" ref="G762">Default_RADAR_Param(16,2)</f>
        <v>#NAME?</v>
      </c>
      <c r="H762" s="3"/>
    </row>
    <row r="763" ht="16.4" customHeight="1" spans="1:8">
      <c r="A763" s="1" t="s">
        <v>973</v>
      </c>
      <c r="B763" s="175"/>
      <c r="C763" s="176"/>
      <c r="D763" s="380" t="s">
        <v>977</v>
      </c>
      <c r="E763" s="532"/>
      <c r="F763" s="238" t="e" cm="1">
        <f t="array" ref="F763">Default_RADAR_Param(17,1)</f>
        <v>#NAME?</v>
      </c>
      <c r="G763" s="239" t="e" cm="1">
        <f t="array" ref="G763">Default_RADAR_Param(17,2)</f>
        <v>#NAME?</v>
      </c>
      <c r="H763" s="3"/>
    </row>
    <row r="764" ht="16.4" customHeight="1" spans="1:8">
      <c r="A764" s="1" t="s">
        <v>973</v>
      </c>
      <c r="B764" s="175"/>
      <c r="C764" s="176"/>
      <c r="D764" s="380" t="s">
        <v>978</v>
      </c>
      <c r="E764" s="532"/>
      <c r="F764" s="238" t="e" cm="1">
        <f t="array" ref="F764">Default_RADAR_Param(18,1)</f>
        <v>#NAME?</v>
      </c>
      <c r="G764" s="239" t="e" cm="1">
        <f t="array" ref="G764">Default_RADAR_Param(18,2)</f>
        <v>#NAME?</v>
      </c>
      <c r="H764" s="3"/>
    </row>
    <row r="765" ht="16.4" customHeight="1" spans="1:8">
      <c r="A765" s="1" t="s">
        <v>979</v>
      </c>
      <c r="B765" s="175"/>
      <c r="C765" s="176"/>
      <c r="D765" s="380" t="s">
        <v>980</v>
      </c>
      <c r="E765" s="532"/>
      <c r="F765" s="238" t="e" cm="1">
        <f t="array" ref="F765">Default_RADAR_Param(19,1)</f>
        <v>#NAME?</v>
      </c>
      <c r="G765" s="239" t="e" cm="1">
        <f t="array" ref="G765">Default_RADAR_Param(19,2)</f>
        <v>#NAME?</v>
      </c>
      <c r="H765" s="3"/>
    </row>
    <row r="766" ht="16.4" customHeight="1" spans="1:8">
      <c r="A766" s="1" t="s">
        <v>981</v>
      </c>
      <c r="B766" s="175"/>
      <c r="C766" s="176"/>
      <c r="D766" s="380" t="s">
        <v>982</v>
      </c>
      <c r="E766" s="532"/>
      <c r="F766" s="238" t="e" cm="1">
        <f t="array" ref="F766">Default_RADAR_Param(50,1)</f>
        <v>#NAME?</v>
      </c>
      <c r="G766" s="533" t="e" cm="1">
        <f t="array" ref="G766">Default_RADAR_Param(50,2)</f>
        <v>#NAME?</v>
      </c>
      <c r="H766" s="3"/>
    </row>
    <row r="767" ht="16.4" customHeight="1" spans="1:8">
      <c r="A767" s="1" t="s">
        <v>981</v>
      </c>
      <c r="B767" s="175"/>
      <c r="C767" s="176"/>
      <c r="D767" s="380" t="s">
        <v>983</v>
      </c>
      <c r="E767" s="532"/>
      <c r="F767" s="238" t="e" cm="1">
        <f t="array" ref="F767">Default_RADAR_Param(51,1)</f>
        <v>#NAME?</v>
      </c>
      <c r="G767" s="533" t="e" cm="1">
        <f t="array" ref="G767">Default_RADAR_Param(51,2)</f>
        <v>#NAME?</v>
      </c>
      <c r="H767" s="3"/>
    </row>
    <row r="768" ht="16.4" customHeight="1" spans="1:8">
      <c r="A768" s="1" t="s">
        <v>981</v>
      </c>
      <c r="B768" s="175"/>
      <c r="C768" s="176"/>
      <c r="D768" s="380" t="s">
        <v>984</v>
      </c>
      <c r="E768" s="532"/>
      <c r="F768" s="238" t="e" cm="1">
        <f t="array" ref="F768">Default_RADAR_Param(52,1)</f>
        <v>#NAME?</v>
      </c>
      <c r="G768" s="533" t="e" cm="1">
        <f t="array" ref="G768">Default_RADAR_Param(52,2)</f>
        <v>#NAME?</v>
      </c>
      <c r="H768" s="3"/>
    </row>
    <row r="769" ht="16.4" customHeight="1" spans="1:8">
      <c r="A769" s="1" t="s">
        <v>931</v>
      </c>
      <c r="B769" s="175"/>
      <c r="C769" s="176"/>
      <c r="D769" s="380" t="s">
        <v>985</v>
      </c>
      <c r="E769" s="532"/>
      <c r="F769" s="238" t="e" cm="1">
        <f t="array" ref="F769">Default_RADAR_Param(58,1)</f>
        <v>#NAME?</v>
      </c>
      <c r="G769" s="533" t="e" cm="1">
        <f t="array" ref="G769">Default_RADAR_Param(58,2)</f>
        <v>#NAME?</v>
      </c>
      <c r="H769" s="3"/>
    </row>
    <row r="770" ht="16.4" customHeight="1" spans="1:8">
      <c r="A770" s="1" t="s">
        <v>986</v>
      </c>
      <c r="B770" s="175"/>
      <c r="C770" s="176"/>
      <c r="D770" s="380" t="s">
        <v>987</v>
      </c>
      <c r="E770" s="532"/>
      <c r="F770" s="238" t="e" cm="1">
        <f t="array" ref="F770">Default_RADAR_Param(59,1)</f>
        <v>#NAME?</v>
      </c>
      <c r="G770" s="533" t="e" cm="1">
        <f t="array" ref="G770">Default_RADAR_Param(59,2)</f>
        <v>#NAME?</v>
      </c>
      <c r="H770" s="3"/>
    </row>
    <row r="771" ht="16.4" customHeight="1" spans="1:8">
      <c r="A771" s="1" t="s">
        <v>986</v>
      </c>
      <c r="B771" s="175"/>
      <c r="C771" s="176"/>
      <c r="D771" s="380" t="s">
        <v>988</v>
      </c>
      <c r="E771" s="532"/>
      <c r="F771" s="238" t="e" cm="1">
        <f t="array" ref="F771">Default_RADAR_Param(60,1)</f>
        <v>#NAME?</v>
      </c>
      <c r="G771" s="533" t="e" cm="1">
        <f t="array" ref="G771">Default_RADAR_Param(60,2)</f>
        <v>#NAME?</v>
      </c>
      <c r="H771" s="3"/>
    </row>
    <row r="772" ht="16.4" customHeight="1" spans="1:8">
      <c r="A772" s="534" t="s">
        <v>989</v>
      </c>
      <c r="B772" s="175"/>
      <c r="C772" s="176"/>
      <c r="D772" s="380" t="s">
        <v>990</v>
      </c>
      <c r="E772" s="532"/>
      <c r="F772" s="238" t="e" cm="1">
        <f t="array" ref="F772">Default_RADAR_Param(53,1)</f>
        <v>#NAME?</v>
      </c>
      <c r="G772" s="533" t="e" cm="1">
        <f t="array" ref="G772">Default_RADAR_Param(53,2)</f>
        <v>#NAME?</v>
      </c>
      <c r="H772" s="3"/>
    </row>
    <row r="773" ht="16.4" customHeight="1" spans="1:8">
      <c r="A773" s="1" t="s">
        <v>989</v>
      </c>
      <c r="B773" s="175"/>
      <c r="C773" s="176"/>
      <c r="D773" s="380" t="s">
        <v>991</v>
      </c>
      <c r="E773" s="532"/>
      <c r="F773" s="238" t="e" cm="1">
        <f t="array" ref="F773">Default_RADAR_Param(55,1)</f>
        <v>#NAME?</v>
      </c>
      <c r="G773" s="533" t="e" cm="1">
        <f t="array" ref="G773">Default_RADAR_Param(55,2)</f>
        <v>#NAME?</v>
      </c>
      <c r="H773" s="3"/>
    </row>
    <row r="774" ht="16.4" customHeight="1" spans="1:8">
      <c r="A774" s="1" t="s">
        <v>989</v>
      </c>
      <c r="B774" s="175"/>
      <c r="C774" s="176"/>
      <c r="D774" s="380" t="s">
        <v>992</v>
      </c>
      <c r="E774" s="532"/>
      <c r="F774" s="238" t="e" cm="1">
        <f t="array" ref="F774">Default_RADAR_Param(56,1)</f>
        <v>#NAME?</v>
      </c>
      <c r="G774" s="533" t="e" cm="1">
        <f t="array" ref="G774">Default_RADAR_Param(56,2)</f>
        <v>#NAME?</v>
      </c>
      <c r="H774" s="3"/>
    </row>
    <row r="775" ht="16.4" customHeight="1" spans="1:8">
      <c r="A775" s="1" t="s">
        <v>448</v>
      </c>
      <c r="B775" s="175"/>
      <c r="C775" s="176"/>
      <c r="D775" s="380" t="s">
        <v>993</v>
      </c>
      <c r="E775" s="532"/>
      <c r="F775" s="238" t="e" cm="1">
        <f t="array" ref="F775">Default_RADAR_Param(20,1)</f>
        <v>#NAME?</v>
      </c>
      <c r="G775" s="239" t="e" cm="1">
        <f t="array" ref="G775">Default_RADAR_Param(20,2)</f>
        <v>#NAME?</v>
      </c>
      <c r="H775" s="3"/>
    </row>
    <row r="776" ht="16.4" customHeight="1" spans="1:8">
      <c r="A776" s="1" t="s">
        <v>448</v>
      </c>
      <c r="B776" s="175"/>
      <c r="C776" s="176"/>
      <c r="D776" s="380" t="s">
        <v>994</v>
      </c>
      <c r="E776" s="532"/>
      <c r="F776" s="238" t="e" cm="1">
        <f t="array" ref="F776">Default_RADAR_Param(21,1)</f>
        <v>#NAME?</v>
      </c>
      <c r="G776" s="239" t="e" cm="1">
        <f t="array" ref="G776">Default_RADAR_Param(21,2)</f>
        <v>#NAME?</v>
      </c>
      <c r="H776" s="3"/>
    </row>
    <row r="777" ht="16.4" customHeight="1" spans="1:8">
      <c r="A777" s="1" t="s">
        <v>448</v>
      </c>
      <c r="B777" s="175"/>
      <c r="C777" s="176"/>
      <c r="D777" s="380" t="s">
        <v>995</v>
      </c>
      <c r="E777" s="532"/>
      <c r="F777" s="238" t="e" cm="1">
        <f t="array" ref="F777">Default_RADAR_Param(22,1)</f>
        <v>#NAME?</v>
      </c>
      <c r="G777" s="239" t="e" cm="1">
        <f t="array" ref="G777">Default_RADAR_Param(22,2)</f>
        <v>#NAME?</v>
      </c>
      <c r="H777" s="3"/>
    </row>
    <row r="778" ht="16.4" customHeight="1" spans="1:8">
      <c r="A778" s="1" t="s">
        <v>448</v>
      </c>
      <c r="B778" s="175"/>
      <c r="C778" s="176"/>
      <c r="D778" s="380" t="s">
        <v>996</v>
      </c>
      <c r="E778" s="532"/>
      <c r="F778" s="238" t="e" cm="1">
        <f t="array" ref="F778">Default_RADAR_Param(23,1)</f>
        <v>#NAME?</v>
      </c>
      <c r="G778" s="239" t="e" cm="1">
        <f t="array" ref="G778">Default_RADAR_Param(23,2)</f>
        <v>#NAME?</v>
      </c>
      <c r="H778" s="3"/>
    </row>
    <row r="779" ht="16.4" customHeight="1" spans="1:8">
      <c r="A779" s="1" t="s">
        <v>448</v>
      </c>
      <c r="B779" s="175"/>
      <c r="C779" s="176"/>
      <c r="D779" s="380" t="s">
        <v>997</v>
      </c>
      <c r="E779" s="532"/>
      <c r="F779" s="238" t="e" cm="1">
        <f t="array" ref="F779">Default_RADAR_Param(24,1)</f>
        <v>#NAME?</v>
      </c>
      <c r="G779" s="239" t="e" cm="1">
        <f t="array" ref="G779">Default_RADAR_Param(24,2)</f>
        <v>#NAME?</v>
      </c>
      <c r="H779" s="3"/>
    </row>
    <row r="780" ht="16.4" customHeight="1" spans="1:8">
      <c r="A780" s="1" t="s">
        <v>448</v>
      </c>
      <c r="B780" s="182"/>
      <c r="C780" s="183"/>
      <c r="D780" s="333" t="s">
        <v>998</v>
      </c>
      <c r="E780" s="532"/>
      <c r="F780" s="535" t="e" cm="1">
        <f t="array" ref="F780">Default_RADAR_Param(25,1)</f>
        <v>#NAME?</v>
      </c>
      <c r="G780" s="254" t="e" cm="1">
        <f t="array" ref="G780">Default_RADAR_Param(25,2)</f>
        <v>#NAME?</v>
      </c>
      <c r="H780" s="3"/>
    </row>
    <row r="781" ht="16.4" customHeight="1" spans="1:8">
      <c r="B781" s="196"/>
      <c r="C781" s="108"/>
      <c r="D781" s="335"/>
      <c r="E781" s="444"/>
      <c r="F781" s="3"/>
      <c r="G781" s="3"/>
      <c r="H781" s="3"/>
    </row>
    <row r="782" ht="16.4" customHeight="1" spans="1:8">
      <c r="A782" s="1" t="s">
        <v>931</v>
      </c>
      <c r="B782" s="190" t="s">
        <v>999</v>
      </c>
      <c r="C782" s="163"/>
      <c r="D782" s="332"/>
      <c r="E782" s="536" t="s">
        <v>902</v>
      </c>
      <c r="F782" s="3"/>
      <c r="G782" s="3"/>
      <c r="H782" s="3"/>
    </row>
    <row r="783" ht="16.4" customHeight="1" spans="1:8">
      <c r="A783" s="1" t="s">
        <v>931</v>
      </c>
      <c r="B783" s="175"/>
      <c r="C783" s="176"/>
      <c r="D783" s="361" t="s">
        <v>1000</v>
      </c>
      <c r="E783" s="537" t="e" cm="1">
        <f t="array" ref="E783">Default_GEOS_Param(321)</f>
        <v>#NAME?</v>
      </c>
      <c r="G783" s="3"/>
      <c r="H783" s="3"/>
    </row>
    <row r="784" ht="16.4" customHeight="1" spans="1:8">
      <c r="A784" s="1" t="s">
        <v>931</v>
      </c>
      <c r="B784" s="538"/>
      <c r="C784" s="176"/>
      <c r="D784" s="361" t="s">
        <v>1001</v>
      </c>
      <c r="E784" s="377" t="e" cm="1">
        <f t="array" ref="E784">Default_GEOS_Param(322)</f>
        <v>#NAME?</v>
      </c>
      <c r="G784" s="3"/>
      <c r="H784" s="3"/>
    </row>
    <row r="785" ht="16.4" customHeight="1" spans="1:8">
      <c r="B785" s="196"/>
      <c r="C785" s="108"/>
      <c r="D785" s="335"/>
      <c r="E785" s="336"/>
      <c r="F785" s="3"/>
      <c r="G785" s="3"/>
      <c r="H785" s="3"/>
    </row>
    <row r="786" ht="16.4" customHeight="1" spans="1:8">
      <c r="A786" s="1" t="s">
        <v>931</v>
      </c>
      <c r="B786" s="190" t="s">
        <v>1002</v>
      </c>
      <c r="C786" s="163"/>
      <c r="D786" s="332"/>
      <c r="E786" s="536" t="s">
        <v>902</v>
      </c>
      <c r="F786" s="3"/>
      <c r="G786" s="3"/>
      <c r="H786" s="3"/>
    </row>
    <row r="787" ht="16.4" customHeight="1" spans="1:8">
      <c r="A787" s="1" t="s">
        <v>931</v>
      </c>
      <c r="B787" s="175"/>
      <c r="C787" s="176"/>
      <c r="D787" s="361" t="s">
        <v>1003</v>
      </c>
      <c r="E787" s="121" t="e" cm="1">
        <f t="array" ref="E787">Default_GEOS_Param(348)</f>
        <v>#NAME?</v>
      </c>
      <c r="G787" s="3"/>
      <c r="H787" s="3"/>
    </row>
    <row r="788" ht="16.4" customHeight="1" spans="1:8">
      <c r="A788" s="1" t="s">
        <v>931</v>
      </c>
      <c r="B788" s="175"/>
      <c r="C788" s="176"/>
      <c r="D788" s="361" t="s">
        <v>1004</v>
      </c>
      <c r="E788" s="121" t="e" cm="1">
        <f t="array" ref="E788">Default_GEOS_Param(349)</f>
        <v>#NAME?</v>
      </c>
      <c r="G788" s="3"/>
      <c r="H788" s="3"/>
    </row>
    <row r="789" ht="16.4" customHeight="1" spans="1:8">
      <c r="A789" s="1" t="s">
        <v>931</v>
      </c>
      <c r="B789" s="175"/>
      <c r="C789" s="176"/>
      <c r="D789" s="361" t="s">
        <v>1005</v>
      </c>
      <c r="E789" s="121" t="e" cm="1">
        <f t="array" ref="E789">Default_GEOS_Param(350)</f>
        <v>#NAME?</v>
      </c>
      <c r="G789" s="3"/>
      <c r="H789" s="3"/>
    </row>
    <row r="790" ht="16.4" customHeight="1" spans="1:8">
      <c r="A790" s="1" t="s">
        <v>931</v>
      </c>
      <c r="B790" s="175"/>
      <c r="C790" s="176"/>
      <c r="D790" s="361" t="s">
        <v>1006</v>
      </c>
      <c r="E790" s="537" t="e" cm="1">
        <f t="array" ref="E790">Default_GEOS_Param(351)</f>
        <v>#NAME?</v>
      </c>
      <c r="G790" s="3"/>
      <c r="H790" s="3"/>
    </row>
    <row r="791" ht="16.4" customHeight="1" spans="1:8">
      <c r="A791" s="1" t="s">
        <v>931</v>
      </c>
      <c r="B791" s="175"/>
      <c r="C791" s="176"/>
      <c r="D791" s="361" t="s">
        <v>1007</v>
      </c>
      <c r="E791" s="539" t="e" cm="1">
        <f t="array" ref="E791">Default_GEOS_Param(352)</f>
        <v>#NAME?</v>
      </c>
      <c r="G791" s="3"/>
      <c r="H791" s="3"/>
    </row>
    <row r="792" ht="16.4" customHeight="1" spans="1:8">
      <c r="A792" s="1" t="s">
        <v>931</v>
      </c>
      <c r="B792" s="175"/>
      <c r="C792" s="176"/>
      <c r="D792" s="361" t="s">
        <v>1008</v>
      </c>
      <c r="E792" s="539" t="e" cm="1">
        <f t="array" ref="E792">Default_GEOS_Param(353)</f>
        <v>#NAME?</v>
      </c>
      <c r="G792" s="3"/>
      <c r="H792" s="3"/>
    </row>
    <row r="793" ht="16.4" customHeight="1" spans="1:8">
      <c r="A793" s="1" t="s">
        <v>931</v>
      </c>
      <c r="B793" s="175"/>
      <c r="C793" s="176"/>
      <c r="D793" s="361" t="s">
        <v>1009</v>
      </c>
      <c r="E793" s="121" t="e" cm="1">
        <f t="array" ref="E793">Default_GEOS_Param(354)</f>
        <v>#NAME?</v>
      </c>
      <c r="G793" s="3"/>
      <c r="H793" s="3"/>
    </row>
    <row r="794" ht="16.4" customHeight="1" spans="1:8">
      <c r="A794" s="1" t="s">
        <v>931</v>
      </c>
      <c r="B794" s="175"/>
      <c r="C794" s="176"/>
      <c r="D794" s="361" t="s">
        <v>1010</v>
      </c>
      <c r="E794" s="121" t="e" cm="1">
        <f t="array" ref="E794">Default_GEOS_Param(355)</f>
        <v>#NAME?</v>
      </c>
      <c r="G794" s="3"/>
      <c r="H794" s="3"/>
    </row>
    <row r="795" ht="16.4" customHeight="1" spans="1:8">
      <c r="A795" s="1" t="s">
        <v>931</v>
      </c>
      <c r="B795" s="175"/>
      <c r="C795" s="176"/>
      <c r="D795" s="361" t="s">
        <v>1011</v>
      </c>
      <c r="E795" s="121" t="e" cm="1">
        <f t="array" ref="E795">Default_GEOS_Param(356)</f>
        <v>#NAME?</v>
      </c>
      <c r="G795" s="3"/>
      <c r="H795" s="3"/>
    </row>
    <row r="796" ht="16.4" customHeight="1" spans="1:8">
      <c r="A796" s="1" t="s">
        <v>931</v>
      </c>
      <c r="B796" s="175"/>
      <c r="C796" s="176"/>
      <c r="D796" s="361" t="s">
        <v>1012</v>
      </c>
      <c r="E796" s="121" t="e" cm="1">
        <f t="array" ref="E796">Default_GEOS_Param(357)</f>
        <v>#NAME?</v>
      </c>
      <c r="G796" s="3"/>
      <c r="H796" s="3"/>
    </row>
    <row r="797" ht="16.4" customHeight="1" spans="1:8">
      <c r="A797" s="1" t="s">
        <v>931</v>
      </c>
      <c r="B797" s="175"/>
      <c r="C797" s="176"/>
      <c r="D797" s="361" t="s">
        <v>1013</v>
      </c>
      <c r="E797" s="121" t="e" cm="1">
        <f t="array" ref="E797">Default_GEOS_Param(358)</f>
        <v>#NAME?</v>
      </c>
      <c r="G797" s="3"/>
      <c r="H797" s="3"/>
    </row>
    <row r="798" ht="16.4" customHeight="1" spans="1:8">
      <c r="A798" s="1" t="s">
        <v>931</v>
      </c>
      <c r="B798" s="175"/>
      <c r="C798" s="176"/>
      <c r="D798" s="361" t="s">
        <v>1014</v>
      </c>
      <c r="E798" s="121" t="e" cm="1">
        <f t="array" ref="E798">Default_GEOS_Param(359)</f>
        <v>#NAME?</v>
      </c>
      <c r="G798" s="3"/>
      <c r="H798" s="3"/>
    </row>
    <row r="799" ht="16.4" customHeight="1" spans="1:8">
      <c r="A799" s="1" t="s">
        <v>931</v>
      </c>
      <c r="B799" s="175"/>
      <c r="C799" s="176"/>
      <c r="D799" s="361" t="s">
        <v>1015</v>
      </c>
      <c r="E799" s="121" t="e" cm="1">
        <f t="array" ref="E799">Default_GEOS_Param(360)</f>
        <v>#NAME?</v>
      </c>
      <c r="G799" s="3"/>
      <c r="H799" s="3"/>
    </row>
    <row r="800" ht="16.4" customHeight="1" spans="1:8">
      <c r="A800" s="1" t="s">
        <v>931</v>
      </c>
      <c r="B800" s="175"/>
      <c r="C800" s="176"/>
      <c r="D800" s="361" t="s">
        <v>1016</v>
      </c>
      <c r="E800" s="121" t="e" cm="1">
        <f t="array" ref="E800">Default_GEOS_Param(361)</f>
        <v>#NAME?</v>
      </c>
      <c r="G800" s="3"/>
      <c r="H800" s="3"/>
    </row>
    <row r="801" ht="16.4" customHeight="1" spans="1:15">
      <c r="A801" s="1" t="s">
        <v>931</v>
      </c>
      <c r="B801" s="175"/>
      <c r="C801" s="176"/>
      <c r="D801" s="361" t="s">
        <v>1017</v>
      </c>
      <c r="E801" s="121" t="e" cm="1">
        <f t="array" ref="E801">Default_GEOS_Param(362)</f>
        <v>#NAME?</v>
      </c>
      <c r="G801" s="3"/>
      <c r="H801" s="3"/>
    </row>
    <row r="802" ht="16.4" customHeight="1" spans="1:15">
      <c r="A802" s="1" t="s">
        <v>931</v>
      </c>
      <c r="B802" s="175"/>
      <c r="C802" s="176"/>
      <c r="D802" s="361" t="s">
        <v>1018</v>
      </c>
      <c r="E802" s="121" t="e" cm="1">
        <f t="array" ref="E802">Default_GEOS_Param(363)</f>
        <v>#NAME?</v>
      </c>
      <c r="G802" s="3"/>
      <c r="H802" s="3"/>
    </row>
    <row r="803" ht="16.4" customHeight="1" spans="1:15">
      <c r="A803" s="1" t="s">
        <v>931</v>
      </c>
      <c r="B803" s="319"/>
      <c r="C803" s="193"/>
      <c r="D803" s="540" t="s">
        <v>1019</v>
      </c>
      <c r="E803" s="121" t="e" cm="1">
        <f t="array" ref="E803">Default_GEOS_Param(364)</f>
        <v>#NAME?</v>
      </c>
      <c r="G803" s="3"/>
      <c r="H803" s="3"/>
    </row>
    <row r="804" ht="16.4" customHeight="1" spans="1:15">
      <c r="A804" s="1" t="s">
        <v>931</v>
      </c>
      <c r="B804" s="182"/>
      <c r="C804" s="183"/>
      <c r="D804" s="363" t="s">
        <v>1020</v>
      </c>
      <c r="E804" s="317" t="e" cm="1">
        <f t="array" ref="E804">Default_GEOS_Param(365)</f>
        <v>#NAME?</v>
      </c>
      <c r="G804" s="3"/>
      <c r="H804" s="3"/>
    </row>
    <row r="805" ht="16.4" customHeight="1" spans="1:15">
      <c r="B805" s="196"/>
      <c r="C805" s="108"/>
      <c r="D805" s="335"/>
      <c r="E805" s="336"/>
      <c r="F805" s="3"/>
      <c r="G805" s="3"/>
      <c r="H805" s="3"/>
    </row>
    <row r="806" ht="16.4" customHeight="1" spans="1:15">
      <c r="A806" s="1" t="s">
        <v>494</v>
      </c>
      <c r="B806" s="190" t="s">
        <v>1021</v>
      </c>
      <c r="C806" s="163"/>
      <c r="D806" s="383"/>
      <c r="E806" s="541" t="s">
        <v>902</v>
      </c>
      <c r="F806" s="118">
        <v>1</v>
      </c>
      <c r="G806" s="118">
        <v>2</v>
      </c>
      <c r="H806" s="118">
        <v>3</v>
      </c>
      <c r="I806" s="118">
        <v>4</v>
      </c>
      <c r="J806" s="118">
        <v>5</v>
      </c>
      <c r="K806" s="118">
        <v>6</v>
      </c>
      <c r="L806" s="118">
        <v>7</v>
      </c>
      <c r="M806" s="118">
        <v>8</v>
      </c>
      <c r="N806" s="118">
        <v>9</v>
      </c>
      <c r="O806" s="171">
        <v>10</v>
      </c>
    </row>
    <row r="807" ht="16.4" customHeight="1" spans="1:15">
      <c r="A807" s="1" t="s">
        <v>494</v>
      </c>
      <c r="B807" s="346"/>
      <c r="C807" s="176"/>
      <c r="D807" s="43" t="s">
        <v>90</v>
      </c>
      <c r="E807" s="542"/>
      <c r="F807" s="543" t="e" cm="1">
        <f t="array" ref="F807">Default_GEOS_Param(21)</f>
        <v>#NAME?</v>
      </c>
      <c r="G807" s="543" t="e" cm="1">
        <f t="array" ref="G807">Default_GEOS_Param(32)</f>
        <v>#NAME?</v>
      </c>
      <c r="H807" s="543" t="e" cm="1">
        <f t="array" ref="H807">Default_GEOS_Param(43)</f>
        <v>#NAME?</v>
      </c>
      <c r="I807" s="543" t="e" cm="1">
        <f t="array" ref="I807">Default_GEOS_Param(54)</f>
        <v>#NAME?</v>
      </c>
      <c r="J807" s="543" t="e" cm="1">
        <f t="array" ref="J807">Default_GEOS_Param(65)</f>
        <v>#NAME?</v>
      </c>
      <c r="K807" s="543" t="e" cm="1">
        <f t="array" ref="K807">Default_GEOS_Param(76)</f>
        <v>#NAME?</v>
      </c>
      <c r="L807" s="543" t="e" cm="1">
        <f t="array" ref="L807">Default_GEOS_Param(87)</f>
        <v>#NAME?</v>
      </c>
      <c r="M807" s="543" t="e" cm="1">
        <f t="array" ref="M807">Default_GEOS_Param(98)</f>
        <v>#NAME?</v>
      </c>
      <c r="N807" s="543" t="e" cm="1">
        <f t="array" ref="N807">Default_GEOS_Param(109)</f>
        <v>#NAME?</v>
      </c>
      <c r="O807" s="544" t="e" cm="1">
        <f t="array" ref="O807">Default_GEOS_Param(120)</f>
        <v>#NAME?</v>
      </c>
    </row>
    <row r="808" ht="16.4" customHeight="1" spans="1:15">
      <c r="A808" s="1" t="s">
        <v>494</v>
      </c>
      <c r="B808" s="346"/>
      <c r="C808" s="176"/>
      <c r="D808" s="43" t="s">
        <v>1022</v>
      </c>
      <c r="E808" s="542"/>
      <c r="F808" s="545" t="e" cm="1">
        <f t="array" ref="F808">Default_GEOS_Param(22)</f>
        <v>#NAME?</v>
      </c>
      <c r="G808" s="545" t="e" cm="1">
        <f t="array" ref="G808">Default_GEOS_Param(33)</f>
        <v>#NAME?</v>
      </c>
      <c r="H808" s="545" t="e" cm="1">
        <f t="array" ref="H808">Default_GEOS_Param(44)</f>
        <v>#NAME?</v>
      </c>
      <c r="I808" s="546" t="e" cm="1">
        <f t="array" ref="I808">Default_GEOS_Param(55)</f>
        <v>#NAME?</v>
      </c>
      <c r="J808" s="546" t="e" cm="1">
        <f t="array" ref="J808">Default_GEOS_Param(66)</f>
        <v>#NAME?</v>
      </c>
      <c r="K808" s="546" t="e" cm="1">
        <f t="array" ref="K808">Default_GEOS_Param(77)</f>
        <v>#NAME?</v>
      </c>
      <c r="L808" s="546" t="e" cm="1">
        <f t="array" ref="L808">Default_GEOS_Param(88)</f>
        <v>#NAME?</v>
      </c>
      <c r="M808" s="546" t="e" cm="1">
        <f t="array" ref="M808">Default_GEOS_Param(99)</f>
        <v>#NAME?</v>
      </c>
      <c r="N808" s="546" t="e" cm="1">
        <f t="array" ref="N808">Default_GEOS_Param(110)</f>
        <v>#NAME?</v>
      </c>
      <c r="O808" s="547" t="e" cm="1">
        <f t="array" ref="O808">Default_GEOS_Param(121)</f>
        <v>#NAME?</v>
      </c>
    </row>
    <row r="809" ht="16.4" customHeight="1" spans="1:15">
      <c r="A809" s="1" t="s">
        <v>494</v>
      </c>
      <c r="B809" s="346"/>
      <c r="C809" s="176"/>
      <c r="D809" s="43" t="s">
        <v>1023</v>
      </c>
      <c r="E809" s="542"/>
      <c r="F809" s="545" t="e" cm="1">
        <f t="array" ref="F809">Default_GEOS_Param(23)</f>
        <v>#NAME?</v>
      </c>
      <c r="G809" s="545" t="e" cm="1">
        <f t="array" ref="G809">Default_GEOS_Param(34)</f>
        <v>#NAME?</v>
      </c>
      <c r="H809" s="545" t="e" cm="1">
        <f t="array" ref="H809">Default_GEOS_Param(45)</f>
        <v>#NAME?</v>
      </c>
      <c r="I809" s="546" t="e" cm="1">
        <f t="array" ref="I809">Default_GEOS_Param(56)</f>
        <v>#NAME?</v>
      </c>
      <c r="J809" s="546" t="e" cm="1">
        <f t="array" ref="J809">Default_GEOS_Param(67)</f>
        <v>#NAME?</v>
      </c>
      <c r="K809" s="546" t="e" cm="1">
        <f t="array" ref="K809">Default_GEOS_Param(78)</f>
        <v>#NAME?</v>
      </c>
      <c r="L809" s="546" t="e" cm="1">
        <f t="array" ref="L809">Default_GEOS_Param(89)</f>
        <v>#NAME?</v>
      </c>
      <c r="M809" s="546" t="e" cm="1">
        <f t="array" ref="M809">Default_GEOS_Param(100)</f>
        <v>#NAME?</v>
      </c>
      <c r="N809" s="546" t="e" cm="1">
        <f t="array" ref="N809">Default_GEOS_Param(111)</f>
        <v>#NAME?</v>
      </c>
      <c r="O809" s="547" t="e" cm="1">
        <f t="array" ref="O809">Default_GEOS_Param(122)</f>
        <v>#NAME?</v>
      </c>
    </row>
    <row r="810" ht="16.4" customHeight="1" spans="1:15">
      <c r="A810" s="1" t="s">
        <v>494</v>
      </c>
      <c r="B810" s="346"/>
      <c r="C810" s="176"/>
      <c r="D810" s="43" t="s">
        <v>1024</v>
      </c>
      <c r="E810" s="542"/>
      <c r="F810" s="548" t="e" cm="1">
        <f t="array" ref="F810">Default_GEOS_Param(24)</f>
        <v>#NAME?</v>
      </c>
      <c r="G810" s="548" t="e" cm="1">
        <f t="array" ref="G810">Default_GEOS_Param(35)</f>
        <v>#NAME?</v>
      </c>
      <c r="H810" s="548" t="e" cm="1">
        <f t="array" ref="H810">Default_GEOS_Param(46)</f>
        <v>#NAME?</v>
      </c>
      <c r="I810" s="549" t="e" cm="1">
        <f t="array" ref="I810">Default_GEOS_Param(57)</f>
        <v>#NAME?</v>
      </c>
      <c r="J810" s="549" t="e" cm="1">
        <f t="array" ref="J810">Default_GEOS_Param(68)</f>
        <v>#NAME?</v>
      </c>
      <c r="K810" s="549" t="e" cm="1">
        <f t="array" ref="K810">Default_GEOS_Param(79)</f>
        <v>#NAME?</v>
      </c>
      <c r="L810" s="549" t="e" cm="1">
        <f t="array" ref="L810">Default_GEOS_Param(90)</f>
        <v>#NAME?</v>
      </c>
      <c r="M810" s="546" t="e" cm="1">
        <f t="array" ref="M810">Default_GEOS_Param(101)</f>
        <v>#NAME?</v>
      </c>
      <c r="N810" s="546" t="e" cm="1">
        <f t="array" ref="N810">Default_GEOS_Param(112)</f>
        <v>#NAME?</v>
      </c>
      <c r="O810" s="550" t="e" cm="1">
        <f t="array" ref="O810">Default_GEOS_Param(123)</f>
        <v>#NAME?</v>
      </c>
    </row>
    <row r="811" ht="16.4" customHeight="1" spans="1:15">
      <c r="A811" s="1" t="s">
        <v>494</v>
      </c>
      <c r="B811" s="346"/>
      <c r="C811" s="176"/>
      <c r="D811" s="43" t="s">
        <v>1025</v>
      </c>
      <c r="E811" s="358"/>
      <c r="F811" s="545" t="e" cm="1">
        <f t="array" ref="F811">Default_GEOS_Param(25)</f>
        <v>#NAME?</v>
      </c>
      <c r="G811" s="545" t="e" cm="1">
        <f t="array" ref="G811">Default_GEOS_Param(36)</f>
        <v>#NAME?</v>
      </c>
      <c r="H811" s="545" t="e" cm="1">
        <f t="array" ref="H811">Default_GEOS_Param(47)</f>
        <v>#NAME?</v>
      </c>
      <c r="I811" s="546" t="e" cm="1">
        <f t="array" ref="I811">Default_GEOS_Param(58)</f>
        <v>#NAME?</v>
      </c>
      <c r="J811" s="546" t="e" cm="1">
        <f t="array" ref="J811">Default_GEOS_Param(69)</f>
        <v>#NAME?</v>
      </c>
      <c r="K811" s="546" t="e" cm="1">
        <f t="array" ref="K811">Default_GEOS_Param(80)</f>
        <v>#NAME?</v>
      </c>
      <c r="L811" s="546" t="e" cm="1">
        <f t="array" ref="L811">Default_GEOS_Param(91)</f>
        <v>#NAME?</v>
      </c>
      <c r="M811" s="546" t="e" cm="1">
        <f t="array" ref="M811">Default_GEOS_Param(102)</f>
        <v>#NAME?</v>
      </c>
      <c r="N811" s="546" t="e" cm="1">
        <f t="array" ref="N811">Default_GEOS_Param(113)</f>
        <v>#NAME?</v>
      </c>
      <c r="O811" s="547" t="e" cm="1">
        <f t="array" ref="O811">Default_GEOS_Param(124)</f>
        <v>#NAME?</v>
      </c>
    </row>
    <row r="812" ht="16.4" customHeight="1" spans="1:15">
      <c r="A812" s="1" t="s">
        <v>494</v>
      </c>
      <c r="B812" s="346"/>
      <c r="C812" s="176"/>
      <c r="D812" s="132" t="s">
        <v>1026</v>
      </c>
      <c r="E812" s="551"/>
      <c r="F812" s="545" t="e" cm="1">
        <f t="array" ref="F812">Default_GEOS_Param(26)</f>
        <v>#NAME?</v>
      </c>
      <c r="G812" s="545" t="e" cm="1">
        <f t="array" ref="G812">Default_GEOS_Param(37)</f>
        <v>#NAME?</v>
      </c>
      <c r="H812" s="545" t="e" cm="1">
        <f t="array" ref="H812">Default_GEOS_Param(48)</f>
        <v>#NAME?</v>
      </c>
      <c r="I812" s="546" t="e" cm="1">
        <f t="array" ref="I812">Default_GEOS_Param(59)</f>
        <v>#NAME?</v>
      </c>
      <c r="J812" s="546" t="e" cm="1">
        <f t="array" ref="J812">Default_GEOS_Param(70)</f>
        <v>#NAME?</v>
      </c>
      <c r="K812" s="546" t="e" cm="1">
        <f t="array" ref="K812">Default_GEOS_Param(81)</f>
        <v>#NAME?</v>
      </c>
      <c r="L812" s="546" t="e" cm="1">
        <f t="array" ref="L812">Default_GEOS_Param(92)</f>
        <v>#NAME?</v>
      </c>
      <c r="M812" s="546" t="e" cm="1">
        <f t="array" ref="M812">Default_GEOS_Param(103)</f>
        <v>#NAME?</v>
      </c>
      <c r="N812" s="546" t="e" cm="1">
        <f t="array" ref="N812">Default_GEOS_Param(114)</f>
        <v>#NAME?</v>
      </c>
      <c r="O812" s="547" t="e" cm="1">
        <f t="array" ref="O812">Default_GEOS_Param(125)</f>
        <v>#NAME?</v>
      </c>
    </row>
    <row r="813" ht="16.4" customHeight="1" spans="1:15">
      <c r="A813" s="1" t="s">
        <v>494</v>
      </c>
      <c r="B813" s="346"/>
      <c r="C813" s="176"/>
      <c r="D813" s="132" t="s">
        <v>1027</v>
      </c>
      <c r="E813" s="358"/>
      <c r="F813" s="545" t="e" cm="1">
        <f t="array" ref="F813">Default_GEOS_Param(27)</f>
        <v>#NAME?</v>
      </c>
      <c r="G813" s="545" t="e" cm="1">
        <f t="array" ref="G813">Default_GEOS_Param(38)</f>
        <v>#NAME?</v>
      </c>
      <c r="H813" s="545" t="e" cm="1">
        <f t="array" ref="H813">Default_GEOS_Param(49)</f>
        <v>#NAME?</v>
      </c>
      <c r="I813" s="546" t="e" cm="1">
        <f t="array" ref="I813">Default_GEOS_Param(60)</f>
        <v>#NAME?</v>
      </c>
      <c r="J813" s="546" t="e" cm="1">
        <f t="array" ref="J813">Default_GEOS_Param(71)</f>
        <v>#NAME?</v>
      </c>
      <c r="K813" s="546" t="e" cm="1">
        <f t="array" ref="K813">Default_GEOS_Param(82)</f>
        <v>#NAME?</v>
      </c>
      <c r="L813" s="546" t="e" cm="1">
        <f t="array" ref="L813">Default_GEOS_Param(93)</f>
        <v>#NAME?</v>
      </c>
      <c r="M813" s="546" t="e" cm="1">
        <f t="array" ref="M813">Default_GEOS_Param(104)</f>
        <v>#NAME?</v>
      </c>
      <c r="N813" s="546" t="e" cm="1">
        <f t="array" ref="N813">Default_GEOS_Param(115)</f>
        <v>#NAME?</v>
      </c>
      <c r="O813" s="547" t="e" cm="1">
        <f t="array" ref="O813">Default_GEOS_Param(126)</f>
        <v>#NAME?</v>
      </c>
    </row>
    <row r="814" ht="16.4" customHeight="1" spans="1:15">
      <c r="A814" s="1" t="s">
        <v>494</v>
      </c>
      <c r="B814" s="346"/>
      <c r="C814" s="176"/>
      <c r="D814" s="132" t="s">
        <v>1028</v>
      </c>
      <c r="E814" s="358"/>
      <c r="F814" s="545" t="e" cm="1">
        <f t="array" ref="F814">Default_GEOS_Param(28)</f>
        <v>#NAME?</v>
      </c>
      <c r="G814" s="545" t="e" cm="1">
        <f t="array" ref="G814">Default_GEOS_Param(39)</f>
        <v>#NAME?</v>
      </c>
      <c r="H814" s="545" t="e" cm="1">
        <f t="array" ref="H814">Default_GEOS_Param(50)</f>
        <v>#NAME?</v>
      </c>
      <c r="I814" s="546" t="e" cm="1">
        <f t="array" ref="I814">Default_GEOS_Param(61)</f>
        <v>#NAME?</v>
      </c>
      <c r="J814" s="546" t="e" cm="1">
        <f t="array" ref="J814">Default_GEOS_Param(72)</f>
        <v>#NAME?</v>
      </c>
      <c r="K814" s="546" t="e" cm="1">
        <f t="array" ref="K814">Default_GEOS_Param(83)</f>
        <v>#NAME?</v>
      </c>
      <c r="L814" s="546" t="e" cm="1">
        <f t="array" ref="L814">Default_GEOS_Param(94)</f>
        <v>#NAME?</v>
      </c>
      <c r="M814" s="546" t="e" cm="1">
        <f t="array" ref="M814">Default_GEOS_Param(105)</f>
        <v>#NAME?</v>
      </c>
      <c r="N814" s="546" t="e" cm="1">
        <f t="array" ref="N814">Default_GEOS_Param(116)</f>
        <v>#NAME?</v>
      </c>
      <c r="O814" s="547" t="e" cm="1">
        <f t="array" ref="O814">Default_GEOS_Param(127)</f>
        <v>#NAME?</v>
      </c>
    </row>
    <row r="815" ht="16.4" customHeight="1" spans="1:15">
      <c r="A815" s="1" t="s">
        <v>494</v>
      </c>
      <c r="B815" s="346"/>
      <c r="C815" s="176"/>
      <c r="D815" s="132" t="s">
        <v>1029</v>
      </c>
      <c r="E815" s="542"/>
      <c r="F815" s="548" t="e" cm="1">
        <f t="array" ref="F815">Default_GEOS_Param(29)</f>
        <v>#NAME?</v>
      </c>
      <c r="G815" s="548" t="e" cm="1">
        <f t="array" ref="G815">Default_GEOS_Param(40)</f>
        <v>#NAME?</v>
      </c>
      <c r="H815" s="548" t="e" cm="1">
        <f t="array" ref="H815">Default_GEOS_Param(51)</f>
        <v>#NAME?</v>
      </c>
      <c r="I815" s="549" t="e" cm="1">
        <f t="array" ref="I815">Default_GEOS_Param(62)</f>
        <v>#NAME?</v>
      </c>
      <c r="J815" s="549" t="e" cm="1">
        <f t="array" ref="J815">Default_GEOS_Param(73)</f>
        <v>#NAME?</v>
      </c>
      <c r="K815" s="549" t="e" cm="1">
        <f t="array" ref="K815">Default_GEOS_Param(84)</f>
        <v>#NAME?</v>
      </c>
      <c r="L815" s="549" t="e" cm="1">
        <f t="array" ref="L815">Default_GEOS_Param(95)</f>
        <v>#NAME?</v>
      </c>
      <c r="M815" s="546" t="e" cm="1">
        <f t="array" ref="M815">Default_GEOS_Param(106)</f>
        <v>#NAME?</v>
      </c>
      <c r="N815" s="546" t="e" cm="1">
        <f t="array" ref="N815">Default_GEOS_Param(117)</f>
        <v>#NAME?</v>
      </c>
      <c r="O815" s="550" t="e" cm="1">
        <f t="array" ref="O815">Default_GEOS_Param(128)</f>
        <v>#NAME?</v>
      </c>
    </row>
    <row r="816" ht="16.4" customHeight="1" spans="1:15">
      <c r="A816" s="1" t="s">
        <v>494</v>
      </c>
      <c r="B816" s="346"/>
      <c r="C816" s="176"/>
      <c r="D816" s="43" t="s">
        <v>1030</v>
      </c>
      <c r="E816" s="542"/>
      <c r="F816" s="545" t="e" cm="1">
        <f t="array" ref="F816">Default_GEOS_Param(30)</f>
        <v>#NAME?</v>
      </c>
      <c r="G816" s="545" t="e" cm="1">
        <f t="array" ref="G816">Default_GEOS_Param(41)</f>
        <v>#NAME?</v>
      </c>
      <c r="H816" s="545" t="e" cm="1">
        <f t="array" ref="H816">Default_GEOS_Param(52)</f>
        <v>#NAME?</v>
      </c>
      <c r="I816" s="546" t="e" cm="1">
        <f t="array" ref="I816">Default_GEOS_Param(63)</f>
        <v>#NAME?</v>
      </c>
      <c r="J816" s="546" t="e" cm="1">
        <f t="array" ref="J816">Default_GEOS_Param(74)</f>
        <v>#NAME?</v>
      </c>
      <c r="K816" s="546" t="e" cm="1">
        <f t="array" ref="K816">Default_GEOS_Param(85)</f>
        <v>#NAME?</v>
      </c>
      <c r="L816" s="546" t="e" cm="1">
        <f t="array" ref="L816">Default_GEOS_Param(96)</f>
        <v>#NAME?</v>
      </c>
      <c r="M816" s="546" t="e" cm="1">
        <f t="array" ref="M816">Default_GEOS_Param(107)</f>
        <v>#NAME?</v>
      </c>
      <c r="N816" s="546" t="e" cm="1">
        <f t="array" ref="N816">Default_GEOS_Param(118)</f>
        <v>#NAME?</v>
      </c>
      <c r="O816" s="547" t="e" cm="1">
        <f t="array" ref="O816">Default_GEOS_Param(129)</f>
        <v>#NAME?</v>
      </c>
    </row>
    <row r="817" ht="16.4" customHeight="1" spans="1:15">
      <c r="A817" s="1" t="s">
        <v>494</v>
      </c>
      <c r="B817" s="351"/>
      <c r="C817" s="183"/>
      <c r="D817" s="50" t="s">
        <v>1031</v>
      </c>
      <c r="E817" s="552"/>
      <c r="F817" s="553" t="e" cm="1">
        <f t="array" ref="F817">Default_GEOS_Param(31)</f>
        <v>#NAME?</v>
      </c>
      <c r="G817" s="553" t="e" cm="1">
        <f t="array" ref="G817">Default_GEOS_Param(42)</f>
        <v>#NAME?</v>
      </c>
      <c r="H817" s="553" t="e" cm="1">
        <f t="array" ref="H817">Default_GEOS_Param(53)</f>
        <v>#NAME?</v>
      </c>
      <c r="I817" s="554" t="e" cm="1">
        <f t="array" ref="I817">Default_GEOS_Param(64)</f>
        <v>#NAME?</v>
      </c>
      <c r="J817" s="554" t="e" cm="1">
        <f t="array" ref="J817">Default_GEOS_Param(75)</f>
        <v>#NAME?</v>
      </c>
      <c r="K817" s="554" t="e" cm="1">
        <f t="array" ref="K817">Default_GEOS_Param(86)</f>
        <v>#NAME?</v>
      </c>
      <c r="L817" s="554" t="e" cm="1">
        <f t="array" ref="L817">Default_GEOS_Param(97)</f>
        <v>#NAME?</v>
      </c>
      <c r="M817" s="554" t="e" cm="1">
        <f t="array" ref="M817">Default_GEOS_Param(108)</f>
        <v>#NAME?</v>
      </c>
      <c r="N817" s="554" t="e" cm="1">
        <f t="array" ref="N817">Default_GEOS_Param(119)</f>
        <v>#NAME?</v>
      </c>
      <c r="O817" s="555" t="e" cm="1">
        <f t="array" ref="O817">Default_GEOS_Param(130)</f>
        <v>#NAME?</v>
      </c>
    </row>
    <row r="818" ht="16.4" customHeight="1" spans="1:15">
      <c r="A818" s="1" t="s">
        <v>494</v>
      </c>
      <c r="B818" s="189"/>
      <c r="C818" s="108"/>
      <c r="D818" s="189"/>
      <c r="E818" s="207"/>
      <c r="F818" s="3"/>
      <c r="G818" s="3"/>
      <c r="H818" s="3"/>
    </row>
    <row r="819" ht="16.4" customHeight="1" spans="1:15">
      <c r="A819" s="1" t="s">
        <v>494</v>
      </c>
      <c r="B819" s="190" t="s">
        <v>1032</v>
      </c>
      <c r="C819" s="163"/>
      <c r="D819" s="383"/>
      <c r="E819" s="509" t="s">
        <v>902</v>
      </c>
      <c r="F819" s="3"/>
      <c r="G819" s="3"/>
      <c r="H819" s="3"/>
    </row>
    <row r="820" ht="16.4" customHeight="1" spans="1:15">
      <c r="A820" s="1" t="s">
        <v>494</v>
      </c>
      <c r="B820" s="346"/>
      <c r="C820" s="176"/>
      <c r="D820" s="43" t="s">
        <v>1033</v>
      </c>
      <c r="E820" s="537" t="e" cm="1">
        <f t="array" ref="E820">Default_GEOS_Param(132)</f>
        <v>#NAME?</v>
      </c>
      <c r="F820" s="3"/>
      <c r="G820" s="3"/>
      <c r="H820" s="3"/>
    </row>
    <row r="821" ht="16.4" customHeight="1" spans="1:15">
      <c r="A821" s="1" t="s">
        <v>494</v>
      </c>
      <c r="B821" s="346"/>
      <c r="C821" s="176"/>
      <c r="D821" s="43" t="s">
        <v>1034</v>
      </c>
      <c r="E821" s="537" t="e" cm="1">
        <f t="array" ref="E821">Default_GEOS_Param(133)</f>
        <v>#NAME?</v>
      </c>
      <c r="F821" s="3"/>
      <c r="G821" s="3"/>
      <c r="H821" s="3"/>
    </row>
    <row r="822" ht="16.4" customHeight="1" spans="1:15">
      <c r="A822" s="1" t="s">
        <v>494</v>
      </c>
      <c r="B822" s="346"/>
      <c r="C822" s="176"/>
      <c r="D822" s="43" t="s">
        <v>1035</v>
      </c>
      <c r="E822" s="537" t="e" cm="1">
        <f t="array" ref="E822">Default_GEOS_Param(134)</f>
        <v>#NAME?</v>
      </c>
      <c r="F822" s="3"/>
      <c r="G822" s="3"/>
      <c r="H822" s="3"/>
    </row>
    <row r="823" ht="16.4" customHeight="1" spans="1:15">
      <c r="A823" s="1" t="s">
        <v>494</v>
      </c>
      <c r="B823" s="346"/>
      <c r="C823" s="176"/>
      <c r="D823" s="43" t="s">
        <v>1036</v>
      </c>
      <c r="E823" s="537" t="e" cm="1">
        <f t="array" ref="E823">Default_GEOS_Param(135)</f>
        <v>#NAME?</v>
      </c>
      <c r="F823" s="3"/>
      <c r="G823" s="3"/>
      <c r="H823" s="3"/>
    </row>
    <row r="824" ht="16.4" customHeight="1" spans="1:15">
      <c r="A824" s="1" t="s">
        <v>494</v>
      </c>
      <c r="B824" s="346"/>
      <c r="C824" s="176"/>
      <c r="D824" s="43" t="s">
        <v>1037</v>
      </c>
      <c r="E824" s="537" t="e" cm="1">
        <f t="array" ref="E824">Default_GEOS_Param(136)</f>
        <v>#NAME?</v>
      </c>
      <c r="F824" s="3"/>
      <c r="G824" s="3"/>
      <c r="H824" s="3"/>
    </row>
    <row r="825" ht="16.4" customHeight="1" spans="1:15">
      <c r="A825" s="1" t="s">
        <v>494</v>
      </c>
      <c r="B825" s="346"/>
      <c r="C825" s="176"/>
      <c r="D825" s="43" t="s">
        <v>1038</v>
      </c>
      <c r="E825" s="537" t="e" cm="1">
        <f t="array" ref="E825">Default_GEOS_Param(137)</f>
        <v>#NAME?</v>
      </c>
      <c r="F825" s="3"/>
      <c r="G825" s="3"/>
      <c r="H825" s="3"/>
    </row>
    <row r="826" ht="16.4" customHeight="1" spans="1:15">
      <c r="A826" s="1" t="s">
        <v>494</v>
      </c>
      <c r="B826" s="346"/>
      <c r="C826" s="176"/>
      <c r="D826" s="43" t="s">
        <v>1039</v>
      </c>
      <c r="E826" s="537" t="e" cm="1">
        <f t="array" ref="E826">Default_GEOS_Param(138)</f>
        <v>#NAME?</v>
      </c>
      <c r="F826" s="3"/>
      <c r="G826" s="3"/>
      <c r="H826" s="3"/>
    </row>
    <row r="827" ht="16.4" customHeight="1" spans="1:15">
      <c r="A827" s="1" t="s">
        <v>494</v>
      </c>
      <c r="B827" s="346"/>
      <c r="C827" s="176"/>
      <c r="D827" s="43" t="s">
        <v>1040</v>
      </c>
      <c r="E827" s="537" t="e" cm="1">
        <f t="array" ref="E827">Default_GEOS_Param(139)</f>
        <v>#NAME?</v>
      </c>
      <c r="F827" s="3"/>
      <c r="G827" s="3"/>
      <c r="H827" s="3"/>
    </row>
    <row r="828" ht="16.4" customHeight="1" spans="1:15">
      <c r="A828" s="1" t="s">
        <v>494</v>
      </c>
      <c r="B828" s="346"/>
      <c r="C828" s="176"/>
      <c r="D828" s="43" t="s">
        <v>1041</v>
      </c>
      <c r="E828" s="537" t="e" cm="1">
        <f t="array" ref="E828">Default_GEOS_Param(140)</f>
        <v>#NAME?</v>
      </c>
      <c r="F828" s="3"/>
      <c r="G828" s="3"/>
      <c r="H828" s="3"/>
    </row>
    <row r="829" ht="16.4" customHeight="1" spans="1:15">
      <c r="A829" s="1" t="s">
        <v>494</v>
      </c>
      <c r="B829" s="346"/>
      <c r="C829" s="176"/>
      <c r="D829" s="43" t="s">
        <v>1042</v>
      </c>
      <c r="E829" s="537" t="e" cm="1">
        <f t="array" ref="E829">Default_GEOS_Param(141)</f>
        <v>#NAME?</v>
      </c>
      <c r="F829" s="3"/>
      <c r="G829" s="3"/>
      <c r="H829" s="3"/>
    </row>
    <row r="830" ht="16.4" customHeight="1" spans="1:15">
      <c r="A830" s="1" t="s">
        <v>494</v>
      </c>
      <c r="B830" s="346"/>
      <c r="C830" s="176"/>
      <c r="D830" s="43" t="s">
        <v>1043</v>
      </c>
      <c r="E830" s="537" t="e" cm="1">
        <f t="array" ref="E830">Default_GEOS_Param(142)</f>
        <v>#NAME?</v>
      </c>
      <c r="F830" s="3"/>
      <c r="G830" s="3"/>
      <c r="H830" s="3"/>
    </row>
    <row r="831" ht="16.4" customHeight="1" spans="1:15">
      <c r="A831" s="1" t="s">
        <v>494</v>
      </c>
      <c r="B831" s="346"/>
      <c r="C831" s="176"/>
      <c r="D831" s="43" t="s">
        <v>1044</v>
      </c>
      <c r="E831" s="537" t="e" cm="1">
        <f t="array" ref="E831">Default_GEOS_Param(143)</f>
        <v>#NAME?</v>
      </c>
      <c r="F831" s="3"/>
      <c r="G831" s="3"/>
      <c r="H831" s="3"/>
    </row>
    <row r="832" ht="16.4" customHeight="1" spans="1:15">
      <c r="A832" s="1" t="s">
        <v>494</v>
      </c>
      <c r="B832" s="346"/>
      <c r="C832" s="176"/>
      <c r="D832" s="43" t="s">
        <v>1045</v>
      </c>
      <c r="E832" s="537" t="e" cm="1">
        <f t="array" ref="E832">Default_GEOS_Param(144)</f>
        <v>#NAME?</v>
      </c>
      <c r="F832" s="3"/>
      <c r="G832" s="3"/>
      <c r="H832" s="3"/>
    </row>
    <row r="833" ht="16.4" customHeight="1" spans="1:9">
      <c r="A833" s="1" t="s">
        <v>494</v>
      </c>
      <c r="B833" s="346"/>
      <c r="C833" s="176"/>
      <c r="D833" s="43" t="s">
        <v>1046</v>
      </c>
      <c r="E833" s="537" t="e" cm="1">
        <f t="array" ref="E833">Default_GEOS_Param(145)</f>
        <v>#NAME?</v>
      </c>
      <c r="F833" s="3"/>
      <c r="G833" s="3"/>
      <c r="H833" s="3"/>
    </row>
    <row r="834" ht="16.4" customHeight="1" spans="1:9">
      <c r="A834" s="1" t="s">
        <v>494</v>
      </c>
      <c r="B834" s="346"/>
      <c r="C834" s="176"/>
      <c r="D834" s="43" t="s">
        <v>1047</v>
      </c>
      <c r="E834" s="537" t="e" cm="1">
        <f t="array" ref="E834">Default_GEOS_Param(146)</f>
        <v>#NAME?</v>
      </c>
      <c r="F834" s="3"/>
      <c r="G834" s="3"/>
      <c r="H834" s="3"/>
    </row>
    <row r="835" ht="16.4" customHeight="1" spans="1:9">
      <c r="A835" s="1" t="s">
        <v>494</v>
      </c>
      <c r="B835" s="346"/>
      <c r="C835" s="176"/>
      <c r="D835" s="43" t="s">
        <v>1048</v>
      </c>
      <c r="E835" s="537" t="e" cm="1">
        <f t="array" ref="E835">Default_GEOS_Param(147)</f>
        <v>#NAME?</v>
      </c>
      <c r="F835" s="3"/>
      <c r="G835" s="3"/>
      <c r="H835" s="3"/>
    </row>
    <row r="836" ht="16.4" customHeight="1" spans="1:9">
      <c r="A836" s="1" t="s">
        <v>1049</v>
      </c>
      <c r="B836" s="351"/>
      <c r="C836" s="183"/>
      <c r="D836" s="50" t="s">
        <v>1050</v>
      </c>
      <c r="E836" s="366" t="e" cm="1">
        <f t="array" ref="E836">Default_GEOS_Param(366)</f>
        <v>#NAME?</v>
      </c>
      <c r="F836" s="3"/>
      <c r="G836" s="3"/>
      <c r="H836" s="3"/>
    </row>
    <row r="837" ht="16.4" customHeight="1" spans="1:9">
      <c r="A837" s="1" t="s">
        <v>494</v>
      </c>
      <c r="B837" s="189"/>
      <c r="C837" s="108"/>
      <c r="D837" s="189"/>
      <c r="E837" s="447"/>
      <c r="F837" s="3"/>
      <c r="G837" s="3"/>
      <c r="H837" s="3"/>
    </row>
    <row r="838" ht="16.4" customHeight="1" spans="1:9">
      <c r="A838" s="1" t="s">
        <v>494</v>
      </c>
      <c r="B838" s="190" t="s">
        <v>1051</v>
      </c>
      <c r="C838" s="163"/>
      <c r="D838" s="164"/>
      <c r="E838" s="556" t="s">
        <v>902</v>
      </c>
      <c r="F838" s="118">
        <v>1</v>
      </c>
      <c r="G838" s="118">
        <v>2</v>
      </c>
      <c r="H838" s="118">
        <v>3</v>
      </c>
      <c r="I838" s="171">
        <v>4</v>
      </c>
    </row>
    <row r="839" ht="16.4" customHeight="1" spans="1:9">
      <c r="A839" s="1" t="s">
        <v>494</v>
      </c>
      <c r="B839" s="485"/>
      <c r="C839" s="167"/>
      <c r="D839" s="168" t="s">
        <v>90</v>
      </c>
      <c r="E839" s="557"/>
      <c r="F839" s="558" t="e" cm="1">
        <f t="array" ref="F839">Default_GEOS_Param(148)</f>
        <v>#NAME?</v>
      </c>
      <c r="G839" s="558" t="e" cm="1">
        <f t="array" ref="G839">Default_GEOS_Param(168)</f>
        <v>#NAME?</v>
      </c>
      <c r="H839" s="558" t="e" cm="1">
        <f t="array" ref="H839">Default_GEOS_Param(188)</f>
        <v>#NAME?</v>
      </c>
      <c r="I839" s="559" t="e" cm="1">
        <f t="array" ref="I839">Default_GEOS_Param(208)</f>
        <v>#NAME?</v>
      </c>
    </row>
    <row r="840" ht="16.4" customHeight="1" spans="1:9">
      <c r="A840" s="1" t="s">
        <v>494</v>
      </c>
      <c r="B840" s="346"/>
      <c r="C840" s="176"/>
      <c r="D840" s="43" t="s">
        <v>1052</v>
      </c>
      <c r="E840" s="244"/>
      <c r="F840" s="238" t="e" cm="1">
        <f t="array" ref="F840">Default_GEOS_Param(149)</f>
        <v>#NAME?</v>
      </c>
      <c r="G840" s="238" t="e" cm="1">
        <f t="array" ref="G840">Default_GEOS_Param(169)</f>
        <v>#NAME?</v>
      </c>
      <c r="H840" s="238" t="e" cm="1">
        <f t="array" ref="H840">Default_GEOS_Param(189)</f>
        <v>#NAME?</v>
      </c>
      <c r="I840" s="239" t="e" cm="1">
        <f t="array" ref="I840">Default_GEOS_Param(209)</f>
        <v>#NAME?</v>
      </c>
    </row>
    <row r="841" ht="16.4" customHeight="1" spans="1:9">
      <c r="A841" s="1" t="s">
        <v>494</v>
      </c>
      <c r="B841" s="346"/>
      <c r="C841" s="176"/>
      <c r="D841" s="43" t="s">
        <v>1053</v>
      </c>
      <c r="E841" s="244"/>
      <c r="F841" s="238" t="e" cm="1">
        <f t="array" ref="F841">Default_GEOS_Param(150)</f>
        <v>#NAME?</v>
      </c>
      <c r="G841" s="238" t="e" cm="1">
        <f t="array" ref="G841">Default_GEOS_Param(170)</f>
        <v>#NAME?</v>
      </c>
      <c r="H841" s="238" t="e" cm="1">
        <f t="array" ref="H841">Default_GEOS_Param(190)</f>
        <v>#NAME?</v>
      </c>
      <c r="I841" s="239" t="e" cm="1">
        <f t="array" ref="I841">Default_GEOS_Param(210)</f>
        <v>#NAME?</v>
      </c>
    </row>
    <row r="842" ht="16.4" customHeight="1" spans="1:9">
      <c r="A842" s="1" t="s">
        <v>494</v>
      </c>
      <c r="B842" s="346"/>
      <c r="C842" s="176"/>
      <c r="D842" s="43" t="s">
        <v>1054</v>
      </c>
      <c r="E842" s="244"/>
      <c r="F842" s="238" t="e" cm="1">
        <f t="array" ref="F842">Default_GEOS_Param(151)</f>
        <v>#NAME?</v>
      </c>
      <c r="G842" s="238" t="e" cm="1">
        <f t="array" ref="G842">Default_GEOS_Param(171)</f>
        <v>#NAME?</v>
      </c>
      <c r="H842" s="238" t="e" cm="1">
        <f t="array" ref="H842">Default_GEOS_Param(191)</f>
        <v>#NAME?</v>
      </c>
      <c r="I842" s="239" t="e" cm="1">
        <f t="array" ref="I842">Default_GEOS_Param(211)</f>
        <v>#NAME?</v>
      </c>
    </row>
    <row r="843" ht="16.4" customHeight="1" spans="1:9">
      <c r="A843" s="1" t="s">
        <v>494</v>
      </c>
      <c r="B843" s="346"/>
      <c r="C843" s="176"/>
      <c r="D843" s="132" t="s">
        <v>1055</v>
      </c>
      <c r="E843" s="244"/>
      <c r="F843" s="238" t="e" cm="1">
        <f t="array" ref="F843">Default_GEOS_Param(152)</f>
        <v>#NAME?</v>
      </c>
      <c r="G843" s="238" t="e" cm="1">
        <f t="array" ref="G843">Default_GEOS_Param(172)</f>
        <v>#NAME?</v>
      </c>
      <c r="H843" s="238" t="e" cm="1">
        <f t="array" ref="H843">Default_GEOS_Param(192)</f>
        <v>#NAME?</v>
      </c>
      <c r="I843" s="239" t="e" cm="1">
        <f t="array" ref="I843">Default_GEOS_Param(212)</f>
        <v>#NAME?</v>
      </c>
    </row>
    <row r="844" ht="16.4" customHeight="1" spans="1:9">
      <c r="A844" s="1" t="s">
        <v>494</v>
      </c>
      <c r="B844" s="346"/>
      <c r="C844" s="176"/>
      <c r="D844" s="132" t="s">
        <v>1056</v>
      </c>
      <c r="E844" s="244"/>
      <c r="F844" s="238" t="e" cm="1">
        <f t="array" ref="F844">Default_GEOS_Param(153)</f>
        <v>#NAME?</v>
      </c>
      <c r="G844" s="238" t="e" cm="1">
        <f t="array" ref="G844">Default_GEOS_Param(173)</f>
        <v>#NAME?</v>
      </c>
      <c r="H844" s="238" t="e" cm="1">
        <f t="array" ref="H844">Default_GEOS_Param(193)</f>
        <v>#NAME?</v>
      </c>
      <c r="I844" s="239" t="e" cm="1">
        <f t="array" ref="I844">Default_GEOS_Param(213)</f>
        <v>#NAME?</v>
      </c>
    </row>
    <row r="845" ht="16.4" customHeight="1" spans="1:9">
      <c r="A845" s="1" t="s">
        <v>494</v>
      </c>
      <c r="B845" s="346"/>
      <c r="C845" s="176"/>
      <c r="D845" s="132" t="s">
        <v>1057</v>
      </c>
      <c r="E845" s="244"/>
      <c r="F845" s="238" t="e" cm="1">
        <f t="array" ref="F845">Default_GEOS_Param(154)</f>
        <v>#NAME?</v>
      </c>
      <c r="G845" s="238" t="e" cm="1">
        <f t="array" ref="G845">Default_GEOS_Param(174)</f>
        <v>#NAME?</v>
      </c>
      <c r="H845" s="238" t="e" cm="1">
        <f t="array" ref="H845">Default_GEOS_Param(194)</f>
        <v>#NAME?</v>
      </c>
      <c r="I845" s="239" t="e" cm="1">
        <f t="array" ref="I845">Default_GEOS_Param(214)</f>
        <v>#NAME?</v>
      </c>
    </row>
    <row r="846" ht="16.4" customHeight="1" spans="1:9">
      <c r="A846" s="1" t="s">
        <v>494</v>
      </c>
      <c r="B846" s="346"/>
      <c r="C846" s="176"/>
      <c r="D846" s="132" t="s">
        <v>1058</v>
      </c>
      <c r="E846" s="244"/>
      <c r="F846" s="238" t="e" cm="1">
        <f t="array" ref="F846">Default_GEOS_Param(155)</f>
        <v>#NAME?</v>
      </c>
      <c r="G846" s="238" t="e" cm="1">
        <f t="array" ref="G846">Default_GEOS_Param(175)</f>
        <v>#NAME?</v>
      </c>
      <c r="H846" s="238" t="e" cm="1">
        <f t="array" ref="H846">Default_GEOS_Param(195)</f>
        <v>#NAME?</v>
      </c>
      <c r="I846" s="239" t="e" cm="1">
        <f t="array" ref="I846">Default_GEOS_Param(215)</f>
        <v>#NAME?</v>
      </c>
    </row>
    <row r="847" ht="16.4" customHeight="1" spans="1:9">
      <c r="A847" s="1" t="s">
        <v>494</v>
      </c>
      <c r="B847" s="346"/>
      <c r="C847" s="176"/>
      <c r="D847" s="43" t="s">
        <v>1059</v>
      </c>
      <c r="E847" s="244"/>
      <c r="F847" s="238" t="e" cm="1">
        <f t="array" ref="F847">Default_GEOS_Param(156)</f>
        <v>#NAME?</v>
      </c>
      <c r="G847" s="238" t="e" cm="1">
        <f t="array" ref="G847">Default_GEOS_Param(176)</f>
        <v>#NAME?</v>
      </c>
      <c r="H847" s="238" t="e" cm="1">
        <f t="array" ref="H847">Default_GEOS_Param(196)</f>
        <v>#NAME?</v>
      </c>
      <c r="I847" s="239" t="e" cm="1">
        <f t="array" ref="I847">Default_GEOS_Param(216)</f>
        <v>#NAME?</v>
      </c>
    </row>
    <row r="848" ht="16.4" customHeight="1" spans="1:9">
      <c r="A848" s="1" t="s">
        <v>494</v>
      </c>
      <c r="B848" s="346"/>
      <c r="C848" s="176"/>
      <c r="D848" s="43" t="s">
        <v>1060</v>
      </c>
      <c r="E848" s="244"/>
      <c r="F848" s="238" t="e" cm="1">
        <f t="array" ref="F848">Default_GEOS_Param(157)</f>
        <v>#NAME?</v>
      </c>
      <c r="G848" s="238" t="e" cm="1">
        <f t="array" ref="G848">Default_GEOS_Param(177)</f>
        <v>#NAME?</v>
      </c>
      <c r="H848" s="238" t="e" cm="1">
        <f t="array" ref="H848">Default_GEOS_Param(197)</f>
        <v>#NAME?</v>
      </c>
      <c r="I848" s="239" t="e" cm="1">
        <f t="array" ref="I848">Default_GEOS_Param(217)</f>
        <v>#NAME?</v>
      </c>
    </row>
    <row r="849" ht="16.4" customHeight="1" spans="1:9">
      <c r="A849" s="1" t="s">
        <v>494</v>
      </c>
      <c r="B849" s="346"/>
      <c r="C849" s="176"/>
      <c r="D849" s="43" t="s">
        <v>1061</v>
      </c>
      <c r="E849" s="244"/>
      <c r="F849" s="238" t="e" cm="1">
        <f t="array" ref="F849">Default_GEOS_Param(158)</f>
        <v>#NAME?</v>
      </c>
      <c r="G849" s="238" t="e" cm="1">
        <f t="array" ref="G849">Default_GEOS_Param(178)</f>
        <v>#NAME?</v>
      </c>
      <c r="H849" s="238" t="e" cm="1">
        <f t="array" ref="H849">Default_GEOS_Param(198)</f>
        <v>#NAME?</v>
      </c>
      <c r="I849" s="239" t="e" cm="1">
        <f t="array" ref="I849">Default_GEOS_Param(218)</f>
        <v>#NAME?</v>
      </c>
    </row>
    <row r="850" ht="16.4" customHeight="1" spans="1:9">
      <c r="A850" s="1" t="s">
        <v>494</v>
      </c>
      <c r="B850" s="346"/>
      <c r="C850" s="176"/>
      <c r="D850" s="43" t="s">
        <v>1062</v>
      </c>
      <c r="E850" s="244"/>
      <c r="F850" s="238" t="e" cm="1">
        <f t="array" ref="F850">Default_GEOS_Param(159)</f>
        <v>#NAME?</v>
      </c>
      <c r="G850" s="238" t="e" cm="1">
        <f t="array" ref="G850">Default_GEOS_Param(179)</f>
        <v>#NAME?</v>
      </c>
      <c r="H850" s="238" t="e" cm="1">
        <f t="array" ref="H850">Default_GEOS_Param(199)</f>
        <v>#NAME?</v>
      </c>
      <c r="I850" s="239" t="e" cm="1">
        <f t="array" ref="I850">Default_GEOS_Param(219)</f>
        <v>#NAME?</v>
      </c>
    </row>
    <row r="851" ht="16.4" customHeight="1" spans="1:9">
      <c r="A851" s="1" t="s">
        <v>494</v>
      </c>
      <c r="B851" s="346"/>
      <c r="C851" s="176"/>
      <c r="D851" s="132" t="s">
        <v>1063</v>
      </c>
      <c r="E851" s="244"/>
      <c r="F851" s="238" t="e" cm="1">
        <f t="array" ref="F851">Default_GEOS_Param(160)</f>
        <v>#NAME?</v>
      </c>
      <c r="G851" s="238" t="e" cm="1">
        <f t="array" ref="G851">Default_GEOS_Param(180)</f>
        <v>#NAME?</v>
      </c>
      <c r="H851" s="238" t="e" cm="1">
        <f t="array" ref="H851">Default_GEOS_Param(200)</f>
        <v>#NAME?</v>
      </c>
      <c r="I851" s="239" t="e" cm="1">
        <f t="array" ref="I851">Default_GEOS_Param(220)</f>
        <v>#NAME?</v>
      </c>
    </row>
    <row r="852" ht="16.4" customHeight="1" spans="1:9">
      <c r="A852" s="1" t="s">
        <v>494</v>
      </c>
      <c r="B852" s="175"/>
      <c r="C852" s="176"/>
      <c r="D852" s="361" t="s">
        <v>1064</v>
      </c>
      <c r="E852" s="362"/>
      <c r="F852" s="560" t="e" cm="1">
        <f t="array" ref="F852">Default_GEOS_Param(161)</f>
        <v>#NAME?</v>
      </c>
      <c r="G852" s="560" t="e" cm="1">
        <f t="array" ref="G852">Default_GEOS_Param(181)</f>
        <v>#NAME?</v>
      </c>
      <c r="H852" s="560" t="e" cm="1">
        <f t="array" ref="H852">Default_GEOS_Param(201)</f>
        <v>#NAME?</v>
      </c>
      <c r="I852" s="561" t="e" cm="1">
        <f t="array" ref="I852">Default_GEOS_Param(221)</f>
        <v>#NAME?</v>
      </c>
    </row>
    <row r="853" ht="16.4" customHeight="1" spans="1:9">
      <c r="A853" s="1" t="s">
        <v>494</v>
      </c>
      <c r="B853" s="376"/>
      <c r="C853" s="176"/>
      <c r="D853" s="132" t="s">
        <v>1065</v>
      </c>
      <c r="E853" s="244"/>
      <c r="F853" s="560" t="e" cm="1">
        <f t="array" ref="F853">Default_GEOS_Param(162)</f>
        <v>#NAME?</v>
      </c>
      <c r="G853" s="560" t="e" cm="1">
        <f t="array" ref="G853">Default_GEOS_Param(182)</f>
        <v>#NAME?</v>
      </c>
      <c r="H853" s="545" t="e" cm="1">
        <f t="array" ref="H853">Default_GEOS_Param(202)</f>
        <v>#NAME?</v>
      </c>
      <c r="I853" s="561" t="e" cm="1">
        <f t="array" ref="I853">Default_GEOS_Param(222)</f>
        <v>#NAME?</v>
      </c>
    </row>
    <row r="854" ht="16.4" customHeight="1" spans="1:9">
      <c r="A854" s="1" t="s">
        <v>494</v>
      </c>
      <c r="B854" s="346"/>
      <c r="C854" s="176"/>
      <c r="D854" s="132" t="s">
        <v>1066</v>
      </c>
      <c r="E854" s="244"/>
      <c r="F854" s="545" t="e" cm="1">
        <f t="array" ref="F854">Default_GEOS_Param(163)</f>
        <v>#NAME?</v>
      </c>
      <c r="G854" s="545" t="e" cm="1">
        <f t="array" ref="G854">Default_GEOS_Param(183)</f>
        <v>#NAME?</v>
      </c>
      <c r="H854" s="545" t="e" cm="1">
        <f t="array" ref="H854">Default_GEOS_Param(203)</f>
        <v>#NAME?</v>
      </c>
      <c r="I854" s="562" t="e" cm="1">
        <f t="array" ref="I854">Default_GEOS_Param(223)</f>
        <v>#NAME?</v>
      </c>
    </row>
    <row r="855" ht="16.4" customHeight="1" spans="1:9">
      <c r="A855" s="1" t="s">
        <v>494</v>
      </c>
      <c r="B855" s="175"/>
      <c r="C855" s="176"/>
      <c r="D855" s="361" t="s">
        <v>1067</v>
      </c>
      <c r="E855" s="362"/>
      <c r="F855" s="545" t="e" cm="1">
        <f t="array" ref="F855">Default_GEOS_Param(164)</f>
        <v>#NAME?</v>
      </c>
      <c r="G855" s="545" t="e" cm="1">
        <f t="array" ref="G855">Default_GEOS_Param(184)</f>
        <v>#NAME?</v>
      </c>
      <c r="H855" s="545" t="e" cm="1">
        <f t="array" ref="H855">Default_GEOS_Param(204)</f>
        <v>#NAME?</v>
      </c>
      <c r="I855" s="562" t="e" cm="1">
        <f t="array" ref="I855">Default_GEOS_Param(224)</f>
        <v>#NAME?</v>
      </c>
    </row>
    <row r="856" ht="16.4" customHeight="1" spans="1:9">
      <c r="A856" s="1" t="s">
        <v>494</v>
      </c>
      <c r="B856" s="175"/>
      <c r="C856" s="176"/>
      <c r="D856" s="361" t="s">
        <v>1068</v>
      </c>
      <c r="E856" s="532"/>
      <c r="F856" s="545" t="e" cm="1">
        <f t="array" ref="F856">Default_GEOS_Param(165)</f>
        <v>#NAME?</v>
      </c>
      <c r="G856" s="545" t="e" cm="1">
        <f t="array" ref="G856">Default_GEOS_Param(185)</f>
        <v>#NAME?</v>
      </c>
      <c r="H856" s="548" t="e" cm="1">
        <f t="array" ref="H856">Default_GEOS_Param(205)</f>
        <v>#NAME?</v>
      </c>
      <c r="I856" s="562" t="e" cm="1">
        <f t="array" ref="I856">Default_GEOS_Param(225)</f>
        <v>#NAME?</v>
      </c>
    </row>
    <row r="857" ht="16.4" customHeight="1" spans="1:9">
      <c r="A857" s="1" t="s">
        <v>494</v>
      </c>
      <c r="B857" s="510"/>
      <c r="C857" s="198"/>
      <c r="D857" s="405" t="s">
        <v>1069</v>
      </c>
      <c r="E857" s="563"/>
      <c r="F857" s="548" t="e" cm="1">
        <f t="array" ref="F857">Default_GEOS_Param(166)</f>
        <v>#NAME?</v>
      </c>
      <c r="G857" s="548" t="e" cm="1">
        <f t="array" ref="G857">Default_GEOS_Param(186)</f>
        <v>#NAME?</v>
      </c>
      <c r="H857" s="545" t="e" cm="1">
        <f t="array" ref="H857">Default_GEOS_Param(206)</f>
        <v>#NAME?</v>
      </c>
      <c r="I857" s="564" t="e" cm="1">
        <f t="array" ref="I857">Default_GEOS_Param(226)</f>
        <v>#NAME?</v>
      </c>
    </row>
    <row r="858" ht="16.4" customHeight="1" spans="1:9">
      <c r="A858" s="1" t="s">
        <v>494</v>
      </c>
      <c r="B858" s="348"/>
      <c r="C858" s="183"/>
      <c r="D858" s="50" t="s">
        <v>1070</v>
      </c>
      <c r="E858" s="565"/>
      <c r="F858" s="553" t="e" cm="1">
        <f t="array" ref="F858">Default_GEOS_Param(167)</f>
        <v>#NAME?</v>
      </c>
      <c r="G858" s="553" t="e" cm="1">
        <f t="array" ref="G858">Default_GEOS_Param(187)</f>
        <v>#NAME?</v>
      </c>
      <c r="H858" s="553" t="e" cm="1">
        <f t="array" ref="H858">Default_GEOS_Param(207)</f>
        <v>#NAME?</v>
      </c>
      <c r="I858" s="566" t="e" cm="1">
        <f t="array" ref="I858">Default_GEOS_Param(227)</f>
        <v>#NAME?</v>
      </c>
    </row>
    <row r="859" ht="16.4" customHeight="1" spans="1:9">
      <c r="A859" s="1" t="s">
        <v>494</v>
      </c>
      <c r="E859" s="341"/>
      <c r="F859" s="3"/>
      <c r="G859" s="3"/>
      <c r="H859" s="3"/>
    </row>
    <row r="860" ht="16.4" customHeight="1" spans="1:9">
      <c r="A860" s="1" t="s">
        <v>494</v>
      </c>
      <c r="B860" s="53" t="s">
        <v>1071</v>
      </c>
      <c r="C860" s="54"/>
      <c r="D860" s="310"/>
      <c r="E860" s="509" t="s">
        <v>902</v>
      </c>
      <c r="F860" s="3"/>
      <c r="G860" s="3"/>
      <c r="H860" s="3"/>
    </row>
    <row r="861" ht="16.4" customHeight="1" spans="1:9">
      <c r="A861" s="1" t="s">
        <v>494</v>
      </c>
      <c r="B861" s="41"/>
      <c r="C861" s="42"/>
      <c r="D861" s="87" t="s">
        <v>1072</v>
      </c>
      <c r="E861" s="239" t="e" cm="1">
        <f t="array" ref="E861">Default_GEOS_Param(228)</f>
        <v>#NAME?</v>
      </c>
      <c r="F861" s="3"/>
      <c r="G861" s="3"/>
      <c r="H861" s="3"/>
    </row>
    <row r="862" ht="16.4" customHeight="1" spans="1:9">
      <c r="A862" s="1" t="s">
        <v>494</v>
      </c>
      <c r="B862" s="41"/>
      <c r="C862" s="42"/>
      <c r="D862" s="312" t="s">
        <v>1073</v>
      </c>
      <c r="E862" s="239" t="e" cm="1">
        <f t="array" ref="E862">Default_GEOS_Param(229)</f>
        <v>#NAME?</v>
      </c>
      <c r="F862" s="3"/>
      <c r="G862" s="3"/>
      <c r="H862" s="3"/>
    </row>
    <row r="863" ht="16.4" customHeight="1" spans="1:9">
      <c r="A863" s="1" t="s">
        <v>494</v>
      </c>
      <c r="B863" s="41"/>
      <c r="C863" s="42"/>
      <c r="D863" s="87" t="s">
        <v>1074</v>
      </c>
      <c r="E863" s="239" t="e" cm="1">
        <f t="array" ref="E863">Default_GEOS_Param(230)</f>
        <v>#NAME?</v>
      </c>
      <c r="F863" s="3"/>
      <c r="G863" s="3"/>
      <c r="H863" s="3"/>
    </row>
    <row r="864" ht="16.4" customHeight="1" spans="1:9">
      <c r="A864" s="1" t="s">
        <v>252</v>
      </c>
      <c r="B864" s="41"/>
      <c r="C864" s="42"/>
      <c r="D864" s="567" t="s">
        <v>1075</v>
      </c>
      <c r="E864" s="84" t="e" cm="1">
        <f t="array" ref="E864">Default_GEOS_Param(314)</f>
        <v>#NAME?</v>
      </c>
      <c r="F864" s="3"/>
      <c r="G864" s="3"/>
      <c r="H864" s="3"/>
    </row>
    <row r="865" ht="16.4" customHeight="1" spans="1:8">
      <c r="A865" s="1" t="s">
        <v>520</v>
      </c>
      <c r="B865" s="41"/>
      <c r="C865" s="42"/>
      <c r="D865" s="87" t="s">
        <v>1076</v>
      </c>
      <c r="E865" s="562" t="e" cm="1">
        <f t="array" ref="E865">Default_GEOS_Param(231)</f>
        <v>#NAME?</v>
      </c>
      <c r="F865" s="3"/>
      <c r="G865" s="3"/>
      <c r="H865" s="3"/>
    </row>
    <row r="866" ht="16.4" customHeight="1" spans="1:8">
      <c r="A866" s="1" t="s">
        <v>520</v>
      </c>
      <c r="B866" s="41"/>
      <c r="C866" s="42"/>
      <c r="D866" s="87" t="s">
        <v>1077</v>
      </c>
      <c r="E866" s="568" t="e" cm="1">
        <f t="array" ref="E866">Default_GEOS_Param(232)</f>
        <v>#NAME?</v>
      </c>
      <c r="F866" s="3"/>
      <c r="G866" s="3"/>
      <c r="H866" s="3"/>
    </row>
    <row r="867" ht="16.4" customHeight="1" spans="1:8">
      <c r="A867" s="1" t="s">
        <v>494</v>
      </c>
      <c r="B867" s="41"/>
      <c r="C867" s="42"/>
      <c r="D867" s="312" t="s">
        <v>1078</v>
      </c>
      <c r="E867" s="568" t="e" cm="1">
        <f t="array" ref="E867">Default_GEOS_Param(233)</f>
        <v>#NAME?</v>
      </c>
      <c r="F867" s="3"/>
      <c r="G867" s="3"/>
      <c r="H867" s="3"/>
    </row>
    <row r="868" ht="16.4" customHeight="1" spans="1:8">
      <c r="A868" s="1" t="s">
        <v>252</v>
      </c>
      <c r="B868" s="41"/>
      <c r="C868" s="42"/>
      <c r="D868" s="569" t="s">
        <v>1079</v>
      </c>
      <c r="E868" s="568" t="e" cm="1">
        <f t="array" ref="E868">Default_GEOS_Param(315)</f>
        <v>#NAME?</v>
      </c>
      <c r="F868" s="3"/>
      <c r="G868" s="3"/>
      <c r="H868" s="3"/>
    </row>
    <row r="869" ht="16.4" customHeight="1" spans="1:8">
      <c r="A869" s="1" t="s">
        <v>84</v>
      </c>
      <c r="B869" s="41"/>
      <c r="C869" s="42"/>
      <c r="D869" s="312" t="s">
        <v>1080</v>
      </c>
      <c r="E869" s="568" t="e" cm="1">
        <f t="array" ref="E869">Default_GEOS_Param(300)</f>
        <v>#NAME?</v>
      </c>
      <c r="F869" s="3"/>
      <c r="G869" s="3"/>
      <c r="H869" s="3"/>
    </row>
    <row r="870" ht="16.4" customHeight="1" spans="1:8">
      <c r="A870" s="1" t="s">
        <v>84</v>
      </c>
      <c r="B870" s="41"/>
      <c r="C870" s="42"/>
      <c r="D870" s="312" t="s">
        <v>1081</v>
      </c>
      <c r="E870" s="568" t="e" cm="1">
        <f t="array" ref="E870">Default_GEOS_Param(301)</f>
        <v>#NAME?</v>
      </c>
      <c r="F870" s="3"/>
      <c r="G870" s="3"/>
      <c r="H870" s="3"/>
    </row>
    <row r="871" ht="16.4" customHeight="1" spans="1:8">
      <c r="A871" s="1" t="s">
        <v>84</v>
      </c>
      <c r="B871" s="41"/>
      <c r="C871" s="42"/>
      <c r="D871" s="87" t="s">
        <v>1082</v>
      </c>
      <c r="E871" s="568" t="e" cm="1">
        <f t="array" ref="E871">Default_GEOS_Param(302)</f>
        <v>#NAME?</v>
      </c>
      <c r="F871" s="3"/>
      <c r="G871" s="3"/>
      <c r="H871" s="3"/>
    </row>
    <row r="872" ht="16.4" customHeight="1" spans="1:8">
      <c r="A872" s="1" t="s">
        <v>252</v>
      </c>
      <c r="B872" s="41"/>
      <c r="C872" s="42"/>
      <c r="D872" s="567" t="s">
        <v>1083</v>
      </c>
      <c r="E872" s="570" t="e" cm="1">
        <f t="array" ref="E872">Default_GEOS_Param(316)</f>
        <v>#NAME?</v>
      </c>
      <c r="F872" s="3"/>
      <c r="G872" s="3"/>
      <c r="H872" s="3"/>
    </row>
    <row r="873" ht="16.4" customHeight="1" spans="1:8">
      <c r="A873" s="1" t="s">
        <v>84</v>
      </c>
      <c r="B873" s="41"/>
      <c r="C873" s="42"/>
      <c r="D873" s="312" t="s">
        <v>1084</v>
      </c>
      <c r="E873" s="568" t="e" cm="1">
        <f t="array" ref="E873">Default_GEOS_Param(303)</f>
        <v>#NAME?</v>
      </c>
      <c r="F873" s="3"/>
      <c r="G873" s="3"/>
      <c r="H873" s="3"/>
    </row>
    <row r="874" ht="16.4" customHeight="1" spans="1:8">
      <c r="A874" s="1" t="s">
        <v>84</v>
      </c>
      <c r="B874" s="41"/>
      <c r="C874" s="42"/>
      <c r="D874" s="312" t="s">
        <v>1085</v>
      </c>
      <c r="E874" s="568" t="e" cm="1">
        <f t="array" ref="E874">Default_GEOS_Param(304)</f>
        <v>#NAME?</v>
      </c>
      <c r="F874" s="3"/>
      <c r="G874" s="3"/>
      <c r="H874" s="3"/>
    </row>
    <row r="875" ht="16.4" customHeight="1" spans="1:8">
      <c r="A875" s="1" t="s">
        <v>84</v>
      </c>
      <c r="B875" s="41"/>
      <c r="C875" s="42"/>
      <c r="D875" s="312" t="s">
        <v>1086</v>
      </c>
      <c r="E875" s="561" t="e" cm="1">
        <f t="array" ref="E875">Default_GEOS_Param(305)</f>
        <v>#NAME?</v>
      </c>
      <c r="F875" s="3"/>
      <c r="G875" s="3"/>
      <c r="H875" s="3"/>
    </row>
    <row r="876" ht="16.4" customHeight="1" spans="1:8">
      <c r="A876" s="1" t="s">
        <v>252</v>
      </c>
      <c r="B876" s="41"/>
      <c r="C876" s="42"/>
      <c r="D876" s="571" t="s">
        <v>1087</v>
      </c>
      <c r="E876" s="561" t="e" cm="1">
        <f t="array" ref="E876">Default_GEOS_Param(317)</f>
        <v>#NAME?</v>
      </c>
      <c r="F876" s="3"/>
      <c r="G876" s="3"/>
      <c r="H876" s="3"/>
    </row>
    <row r="877" ht="16.4" customHeight="1" spans="1:8">
      <c r="A877" s="1" t="s">
        <v>401</v>
      </c>
      <c r="B877" s="41"/>
      <c r="C877" s="42"/>
      <c r="D877" s="312" t="s">
        <v>1088</v>
      </c>
      <c r="E877" s="84" t="e" cm="1">
        <f t="array" ref="E877">Default_GEOS_Param(308)</f>
        <v>#NAME?</v>
      </c>
      <c r="F877" s="3"/>
      <c r="G877" s="3"/>
      <c r="H877" s="3"/>
    </row>
    <row r="878" ht="16.4" customHeight="1" spans="1:8">
      <c r="A878" s="1" t="s">
        <v>401</v>
      </c>
      <c r="B878" s="41"/>
      <c r="C878" s="42"/>
      <c r="D878" s="312" t="s">
        <v>1089</v>
      </c>
      <c r="E878" s="84" t="e" cm="1">
        <f t="array" ref="E878">Default_GEOS_Param(309)</f>
        <v>#NAME?</v>
      </c>
      <c r="F878" s="3"/>
      <c r="G878" s="3"/>
      <c r="H878" s="3"/>
    </row>
    <row r="879" ht="16.4" customHeight="1" spans="1:8">
      <c r="A879" s="1" t="s">
        <v>401</v>
      </c>
      <c r="B879" s="41"/>
      <c r="C879" s="42"/>
      <c r="D879" s="312" t="s">
        <v>1090</v>
      </c>
      <c r="E879" s="84" t="e" cm="1">
        <f t="array" ref="E879">Default_GEOS_Param(310)</f>
        <v>#NAME?</v>
      </c>
      <c r="F879" s="3"/>
      <c r="G879" s="3"/>
      <c r="H879" s="3"/>
    </row>
    <row r="880" ht="16.4" customHeight="1" spans="1:8">
      <c r="A880" s="1" t="s">
        <v>401</v>
      </c>
      <c r="B880" s="41"/>
      <c r="C880" s="42"/>
      <c r="D880" s="312" t="s">
        <v>1091</v>
      </c>
      <c r="E880" s="84" t="e" cm="1">
        <f t="array" ref="E880">Default_GEOS_Param(311)</f>
        <v>#NAME?</v>
      </c>
      <c r="F880" s="3"/>
      <c r="G880" s="3"/>
      <c r="H880" s="3"/>
    </row>
    <row r="881" ht="16.4" customHeight="1" spans="1:8">
      <c r="A881" s="1" t="s">
        <v>401</v>
      </c>
      <c r="B881" s="41"/>
      <c r="C881" s="42"/>
      <c r="D881" s="312" t="s">
        <v>1092</v>
      </c>
      <c r="E881" s="84" t="e" cm="1">
        <f t="array" ref="E881">Default_GEOS_Param(312)</f>
        <v>#NAME?</v>
      </c>
      <c r="F881" s="3"/>
      <c r="G881" s="3"/>
      <c r="H881" s="3"/>
    </row>
    <row r="882" ht="16.4" customHeight="1" spans="1:8">
      <c r="A882" s="1" t="s">
        <v>401</v>
      </c>
      <c r="B882" s="41"/>
      <c r="C882" s="42"/>
      <c r="D882" s="312" t="s">
        <v>1093</v>
      </c>
      <c r="E882" s="84" t="e" cm="1">
        <f t="array" ref="E882">Default_GEOS_Param(313)</f>
        <v>#NAME?</v>
      </c>
      <c r="F882" s="3"/>
      <c r="G882" s="3"/>
      <c r="H882" s="3"/>
    </row>
    <row r="883" ht="16.4" customHeight="1" spans="1:8">
      <c r="A883" s="1" t="s">
        <v>252</v>
      </c>
      <c r="B883" s="41"/>
      <c r="C883" s="42"/>
      <c r="D883" s="569" t="s">
        <v>1094</v>
      </c>
      <c r="E883" s="84" t="e" cm="1">
        <f t="array" ref="E883">Default_GEOS_Param(318)</f>
        <v>#NAME?</v>
      </c>
      <c r="F883" s="3"/>
      <c r="G883" s="3"/>
      <c r="H883" s="3"/>
    </row>
    <row r="884" ht="16.4" customHeight="1" spans="1:8">
      <c r="A884" s="1" t="s">
        <v>252</v>
      </c>
      <c r="B884" s="41"/>
      <c r="C884" s="42"/>
      <c r="D884" s="569" t="s">
        <v>1095</v>
      </c>
      <c r="E884" s="84" t="e" cm="1">
        <f t="array" ref="E884">Default_GEOS_Param(319)</f>
        <v>#NAME?</v>
      </c>
      <c r="F884" s="3"/>
      <c r="G884" s="3"/>
      <c r="H884" s="3"/>
    </row>
    <row r="885" ht="16.4" customHeight="1" spans="1:8">
      <c r="A885" s="1" t="s">
        <v>252</v>
      </c>
      <c r="B885" s="48"/>
      <c r="C885" s="59"/>
      <c r="D885" s="572" t="s">
        <v>1096</v>
      </c>
      <c r="E885" s="349" t="e" cm="1">
        <f t="array" ref="E885">Default_GEOS_Param(320)</f>
        <v>#NAME?</v>
      </c>
      <c r="F885" s="3"/>
      <c r="G885" s="3"/>
      <c r="H885" s="3"/>
    </row>
    <row r="886" ht="16.4" customHeight="1" spans="1:8">
      <c r="E886" s="428"/>
      <c r="F886" s="3"/>
      <c r="G886" s="3"/>
      <c r="H886" s="3"/>
    </row>
    <row r="887" ht="16.4" customHeight="1" spans="1:8">
      <c r="A887" s="1" t="s">
        <v>494</v>
      </c>
      <c r="B887" s="190" t="s">
        <v>1097</v>
      </c>
      <c r="C887" s="54"/>
      <c r="D887" s="320"/>
      <c r="E887" s="573" t="s">
        <v>902</v>
      </c>
      <c r="F887" s="3"/>
      <c r="G887" s="3"/>
      <c r="H887" s="3"/>
    </row>
    <row r="888" ht="16.4" customHeight="1" spans="1:8">
      <c r="A888" s="1" t="s">
        <v>494</v>
      </c>
      <c r="B888" s="41"/>
      <c r="C888" s="42"/>
      <c r="D888" s="312" t="s">
        <v>1098</v>
      </c>
      <c r="E888" s="574" t="e" cm="1">
        <f t="array" ref="E888">Default_GEOS_Param(244)</f>
        <v>#NAME?</v>
      </c>
      <c r="F888" s="3"/>
      <c r="G888" s="3"/>
      <c r="H888" s="3"/>
    </row>
    <row r="889" ht="16.4" customHeight="1" spans="1:8">
      <c r="A889" s="1" t="s">
        <v>494</v>
      </c>
      <c r="B889" s="41"/>
      <c r="C889" s="42"/>
      <c r="D889" s="312" t="s">
        <v>1099</v>
      </c>
      <c r="E889" s="574" t="e" cm="1">
        <f t="array" ref="E889">Default_GEOS_Param(245)</f>
        <v>#NAME?</v>
      </c>
      <c r="F889" s="3"/>
      <c r="G889" s="3"/>
      <c r="H889" s="3"/>
    </row>
    <row r="890" ht="16.4" customHeight="1" spans="1:8">
      <c r="A890" s="1" t="s">
        <v>948</v>
      </c>
      <c r="B890" s="41"/>
      <c r="C890" s="42"/>
      <c r="D890" s="87" t="s">
        <v>1100</v>
      </c>
      <c r="E890" s="239" t="e" cm="1">
        <f t="array" ref="E890">Default_ODO_Param(120)</f>
        <v>#NAME?</v>
      </c>
      <c r="F890" s="3"/>
      <c r="G890" s="3"/>
      <c r="H890" s="3"/>
    </row>
    <row r="891" ht="16.4" customHeight="1" spans="1:8">
      <c r="A891" s="1" t="s">
        <v>494</v>
      </c>
      <c r="B891" s="41"/>
      <c r="C891" s="42"/>
      <c r="D891" s="312" t="s">
        <v>1101</v>
      </c>
      <c r="E891" s="561" t="e" cm="1">
        <f t="array" ref="E891">Default_GEOS_Param(246)</f>
        <v>#NAME?</v>
      </c>
      <c r="F891" s="3"/>
      <c r="G891" s="3"/>
      <c r="H891" s="3"/>
    </row>
    <row r="892" ht="16.4" customHeight="1" spans="1:8">
      <c r="A892" s="1" t="s">
        <v>494</v>
      </c>
      <c r="B892" s="41"/>
      <c r="C892" s="42"/>
      <c r="D892" s="312" t="s">
        <v>1102</v>
      </c>
      <c r="E892" s="561" t="e" cm="1">
        <f t="array" ref="E892">Default_GEOS_Param(247)</f>
        <v>#NAME?</v>
      </c>
      <c r="F892" s="3"/>
      <c r="G892" s="3"/>
      <c r="H892" s="3"/>
    </row>
    <row r="893" ht="16.4" customHeight="1" spans="1:8">
      <c r="A893" s="1" t="s">
        <v>494</v>
      </c>
      <c r="B893" s="41"/>
      <c r="C893" s="42"/>
      <c r="D893" s="312" t="s">
        <v>1103</v>
      </c>
      <c r="E893" s="561" t="e" cm="1">
        <f t="array" ref="E893">Default_GEOS_Param(248)</f>
        <v>#NAME?</v>
      </c>
      <c r="F893" s="3"/>
      <c r="G893" s="3"/>
      <c r="H893" s="3"/>
    </row>
    <row r="894" ht="16.4" customHeight="1" spans="1:8">
      <c r="A894" s="1" t="s">
        <v>494</v>
      </c>
      <c r="B894" s="41"/>
      <c r="C894" s="42"/>
      <c r="D894" s="87" t="s">
        <v>1104</v>
      </c>
      <c r="E894" s="561" t="e" cm="1">
        <f t="array" ref="E894">Default_GEOS_Param(249)</f>
        <v>#NAME?</v>
      </c>
      <c r="F894" s="3"/>
      <c r="G894" s="3"/>
      <c r="H894" s="3"/>
    </row>
    <row r="895" ht="16.4" customHeight="1" spans="1:8">
      <c r="A895" s="1" t="s">
        <v>948</v>
      </c>
      <c r="B895" s="41"/>
      <c r="C895" s="42"/>
      <c r="D895" s="87" t="s">
        <v>1105</v>
      </c>
      <c r="E895" s="561">
        <v>3.2</v>
      </c>
      <c r="F895" s="3"/>
      <c r="G895" s="3"/>
      <c r="H895" s="3"/>
    </row>
    <row r="896" ht="16.4" customHeight="1" spans="1:8">
      <c r="A896" s="1" t="s">
        <v>948</v>
      </c>
      <c r="B896" s="48"/>
      <c r="C896" s="59"/>
      <c r="D896" s="225" t="s">
        <v>1106</v>
      </c>
      <c r="E896" s="575" t="e" cm="1">
        <f t="array" ref="E896">Default_ODO_Param(122)</f>
        <v>#NAME?</v>
      </c>
      <c r="F896" s="3"/>
      <c r="G896" s="3"/>
      <c r="H896" s="3"/>
    </row>
    <row r="897" ht="16.4" customHeight="1" spans="1:9">
      <c r="A897" s="1" t="s">
        <v>494</v>
      </c>
      <c r="E897" s="428"/>
      <c r="F897" s="3"/>
      <c r="G897" s="3"/>
      <c r="H897" s="3"/>
    </row>
    <row r="898" ht="16.4" customHeight="1" spans="1:9">
      <c r="A898" s="1" t="s">
        <v>494</v>
      </c>
      <c r="B898" s="53" t="s">
        <v>1107</v>
      </c>
      <c r="C898" s="54"/>
      <c r="D898" s="310"/>
      <c r="E898" s="556" t="s">
        <v>902</v>
      </c>
      <c r="F898" s="118">
        <v>1</v>
      </c>
      <c r="G898" s="118">
        <v>2</v>
      </c>
      <c r="H898" s="118">
        <v>3</v>
      </c>
      <c r="I898" s="171">
        <v>4</v>
      </c>
    </row>
    <row r="899" ht="16.4" customHeight="1" spans="1:9">
      <c r="A899" s="1" t="s">
        <v>494</v>
      </c>
      <c r="B899" s="41"/>
      <c r="C899" s="42"/>
      <c r="D899" s="123" t="s">
        <v>90</v>
      </c>
      <c r="E899" s="551"/>
      <c r="F899" s="558" t="e" cm="1">
        <f t="array" ref="F899">Default_GEOS_Param(250)</f>
        <v>#NAME?</v>
      </c>
      <c r="G899" s="558" t="e" cm="1">
        <f t="array" ref="G899">Default_GEOS_Param(256)</f>
        <v>#NAME?</v>
      </c>
      <c r="H899" s="558" t="e" cm="1">
        <f t="array" ref="H899">Default_GEOS_Param(262)</f>
        <v>#NAME?</v>
      </c>
      <c r="I899" s="559" t="e" cm="1">
        <f t="array" ref="I899">Default_GEOS_Param(268)</f>
        <v>#NAME?</v>
      </c>
    </row>
    <row r="900" ht="16.4" customHeight="1" spans="1:9">
      <c r="A900" s="1" t="s">
        <v>494</v>
      </c>
      <c r="B900" s="41"/>
      <c r="C900" s="42"/>
      <c r="D900" s="123" t="s">
        <v>1108</v>
      </c>
      <c r="E900" s="358"/>
      <c r="F900" s="545" t="e" cm="1">
        <f t="array" ref="F900">Default_GEOS_Param(251)</f>
        <v>#NAME?</v>
      </c>
      <c r="G900" s="545" t="e" cm="1">
        <f t="array" ref="G900">Default_GEOS_Param(257)</f>
        <v>#NAME?</v>
      </c>
      <c r="H900" s="545" t="e" cm="1">
        <f t="array" ref="H900">Default_GEOS_Param(263)</f>
        <v>#NAME?</v>
      </c>
      <c r="I900" s="547" t="e" cm="1">
        <f t="array" ref="I900">Default_GEOS_Param(269)</f>
        <v>#NAME?</v>
      </c>
    </row>
    <row r="901" ht="16.4" customHeight="1" spans="1:9">
      <c r="A901" s="1" t="s">
        <v>494</v>
      </c>
      <c r="B901" s="41"/>
      <c r="C901" s="42"/>
      <c r="D901" s="123" t="s">
        <v>1109</v>
      </c>
      <c r="E901" s="358"/>
      <c r="F901" s="545" t="e" cm="1">
        <f t="array" ref="F901">Default_GEOS_Param(252)</f>
        <v>#NAME?</v>
      </c>
      <c r="G901" s="545" t="e" cm="1">
        <f t="array" ref="G901">Default_GEOS_Param(258)</f>
        <v>#NAME?</v>
      </c>
      <c r="H901" s="545" t="e" cm="1">
        <f t="array" ref="H901">Default_GEOS_Param(264)</f>
        <v>#NAME?</v>
      </c>
      <c r="I901" s="547" t="e" cm="1">
        <f t="array" ref="I901">Default_GEOS_Param(270)</f>
        <v>#NAME?</v>
      </c>
    </row>
    <row r="902" ht="16.4" customHeight="1" spans="1:9">
      <c r="A902" s="1" t="s">
        <v>494</v>
      </c>
      <c r="B902" s="41"/>
      <c r="C902" s="42"/>
      <c r="D902" s="123" t="s">
        <v>1110</v>
      </c>
      <c r="E902" s="542"/>
      <c r="F902" s="548" t="e" cm="1">
        <f t="array" ref="F902">Default_GEOS_Param(253)</f>
        <v>#NAME?</v>
      </c>
      <c r="G902" s="548" t="e" cm="1">
        <f t="array" ref="G902">Default_GEOS_Param(259)</f>
        <v>#NAME?</v>
      </c>
      <c r="H902" s="548" t="e" cm="1">
        <f t="array" ref="H902">Default_GEOS_Param(265)</f>
        <v>#NAME?</v>
      </c>
      <c r="I902" s="550" t="e" cm="1">
        <f t="array" ref="I902">Default_GEOS_Param(271)</f>
        <v>#NAME?</v>
      </c>
    </row>
    <row r="903" ht="16.4" customHeight="1" spans="1:9">
      <c r="A903" s="1" t="s">
        <v>494</v>
      </c>
      <c r="B903" s="41"/>
      <c r="C903" s="42"/>
      <c r="D903" s="312" t="s">
        <v>1111</v>
      </c>
      <c r="E903" s="542"/>
      <c r="F903" s="548" t="e" cm="1">
        <f t="array" ref="F903">Default_GEOS_Param(254)</f>
        <v>#NAME?</v>
      </c>
      <c r="G903" s="548" t="e" cm="1">
        <f t="array" ref="G903">Default_GEOS_Param(260)</f>
        <v>#NAME?</v>
      </c>
      <c r="H903" s="548" t="e" cm="1">
        <f t="array" ref="H903">Default_GEOS_Param(266)</f>
        <v>#NAME?</v>
      </c>
      <c r="I903" s="550" t="e" cm="1">
        <f t="array" ref="I903">Default_GEOS_Param(272)</f>
        <v>#NAME?</v>
      </c>
    </row>
    <row r="904" ht="16.4" customHeight="1" spans="1:9">
      <c r="A904" s="1" t="s">
        <v>494</v>
      </c>
      <c r="B904" s="48"/>
      <c r="C904" s="59"/>
      <c r="D904" s="511" t="s">
        <v>1112</v>
      </c>
      <c r="E904" s="552"/>
      <c r="F904" s="553" t="e" cm="1">
        <f t="array" ref="F904">Default_GEOS_Param(255)</f>
        <v>#NAME?</v>
      </c>
      <c r="G904" s="553" t="e" cm="1">
        <f t="array" ref="G904">Default_GEOS_Param(261)</f>
        <v>#NAME?</v>
      </c>
      <c r="H904" s="553" t="e" cm="1">
        <f t="array" ref="H904">Default_GEOS_Param(267)</f>
        <v>#NAME?</v>
      </c>
      <c r="I904" s="555" t="e" cm="1">
        <f t="array" ref="I904">Default_GEOS_Param(273)</f>
        <v>#NAME?</v>
      </c>
    </row>
    <row r="905" ht="16.4" customHeight="1" spans="1:9">
      <c r="A905" s="1" t="s">
        <v>494</v>
      </c>
      <c r="E905" s="454"/>
      <c r="F905" s="3"/>
      <c r="G905" s="3"/>
      <c r="H905" s="3"/>
    </row>
    <row r="906" ht="16.4" customHeight="1" spans="1:9">
      <c r="A906" s="1" t="s">
        <v>494</v>
      </c>
      <c r="B906" s="53" t="s">
        <v>1113</v>
      </c>
      <c r="C906" s="54"/>
      <c r="D906" s="310"/>
      <c r="E906" s="573" t="s">
        <v>902</v>
      </c>
      <c r="F906" s="3"/>
      <c r="G906" s="3"/>
      <c r="H906" s="3"/>
    </row>
    <row r="907" ht="16.4" customHeight="1" spans="1:9">
      <c r="A907" s="1" t="s">
        <v>494</v>
      </c>
      <c r="B907" s="41"/>
      <c r="C907" s="42"/>
      <c r="D907" s="43" t="s">
        <v>1114</v>
      </c>
      <c r="E907" s="562" t="e" cm="1">
        <f t="array" ref="E907">Default_GEOS_Param(274)</f>
        <v>#NAME?</v>
      </c>
      <c r="F907" s="3"/>
      <c r="G907" s="3"/>
      <c r="H907" s="3"/>
    </row>
    <row r="908" ht="16.4" customHeight="1" spans="1:9">
      <c r="A908" s="1" t="s">
        <v>494</v>
      </c>
      <c r="B908" s="41"/>
      <c r="C908" s="42"/>
      <c r="D908" s="43" t="s">
        <v>1115</v>
      </c>
      <c r="E908" s="562" t="e" cm="1">
        <f t="array" ref="E908">Default_GEOS_Param(275)</f>
        <v>#NAME?</v>
      </c>
      <c r="F908" s="3"/>
      <c r="G908" s="3"/>
      <c r="H908" s="3"/>
    </row>
    <row r="909" ht="16.4" customHeight="1" spans="1:9">
      <c r="A909" s="1" t="s">
        <v>494</v>
      </c>
      <c r="B909" s="48"/>
      <c r="C909" s="59"/>
      <c r="D909" s="50" t="s">
        <v>1116</v>
      </c>
      <c r="E909" s="576" t="e" cm="1">
        <f t="array" ref="E909">Default_GEOS_Param(276)</f>
        <v>#NAME?</v>
      </c>
      <c r="F909" s="3"/>
      <c r="G909" s="3"/>
      <c r="H909" s="3"/>
    </row>
    <row r="910" ht="16.4" customHeight="1" spans="1:9">
      <c r="D910" s="189"/>
      <c r="E910" s="189"/>
      <c r="F910" s="3"/>
      <c r="G910" s="3"/>
      <c r="H910" s="3"/>
    </row>
    <row r="911" ht="16.4" customHeight="1" spans="1:9">
      <c r="B911" s="53" t="s">
        <v>1117</v>
      </c>
      <c r="C911" s="54"/>
      <c r="D911" s="54"/>
      <c r="E911" s="577"/>
      <c r="F911" s="3"/>
      <c r="G911" s="3"/>
      <c r="H911" s="3"/>
    </row>
    <row r="912" ht="16.4" customHeight="1" spans="1:9">
      <c r="A912" s="1" t="s">
        <v>879</v>
      </c>
      <c r="B912" s="41"/>
      <c r="C912" s="123"/>
      <c r="D912" s="335" t="s">
        <v>1118</v>
      </c>
      <c r="E912" s="578" t="e" cm="1">
        <f t="array" ref="E912">Default_GEOS_Param(400)</f>
        <v>#NAME?</v>
      </c>
      <c r="F912" s="3"/>
      <c r="G912" s="3"/>
      <c r="H912" s="3"/>
    </row>
    <row r="913" ht="16.4" customHeight="1" spans="1:9">
      <c r="A913" s="1" t="s">
        <v>879</v>
      </c>
      <c r="B913" s="41"/>
      <c r="C913" s="123"/>
      <c r="D913" s="579" t="s">
        <v>1119</v>
      </c>
      <c r="E913" s="564" t="e" cm="1">
        <f t="array" ref="E913">Default_GEOS_Param(401)</f>
        <v>#NAME?</v>
      </c>
      <c r="F913" s="3"/>
      <c r="G913" s="3"/>
      <c r="H913" s="3"/>
    </row>
    <row r="914" ht="16.4" customHeight="1" spans="1:9">
      <c r="A914" s="1" t="s">
        <v>879</v>
      </c>
      <c r="B914" s="41"/>
      <c r="C914" s="123"/>
      <c r="D914" s="32" t="s">
        <v>1120</v>
      </c>
      <c r="E914" s="564" t="e" cm="1">
        <f t="array" ref="E914">Default_GEOS_Param(402)</f>
        <v>#NAME?</v>
      </c>
      <c r="F914" s="3"/>
      <c r="G914" s="3"/>
      <c r="H914" s="3"/>
    </row>
    <row r="915" ht="16.4" customHeight="1" spans="1:9">
      <c r="A915" s="1" t="s">
        <v>879</v>
      </c>
      <c r="B915" s="41"/>
      <c r="C915" s="123"/>
      <c r="D915" s="579" t="s">
        <v>1121</v>
      </c>
      <c r="E915" s="564" t="e" cm="1">
        <f t="array" ref="E915">Default_GEOS_Param(403)</f>
        <v>#NAME?</v>
      </c>
      <c r="F915" s="3"/>
      <c r="G915" s="3"/>
      <c r="H915" s="3"/>
    </row>
    <row r="916" ht="16.4" customHeight="1" spans="1:9">
      <c r="A916" s="1" t="s">
        <v>879</v>
      </c>
      <c r="B916" s="41"/>
      <c r="C916" s="123"/>
      <c r="D916" s="579"/>
      <c r="E916" s="580" t="s">
        <v>902</v>
      </c>
      <c r="F916" s="118">
        <v>1</v>
      </c>
      <c r="G916" s="118">
        <v>2</v>
      </c>
      <c r="H916" s="118">
        <v>3</v>
      </c>
      <c r="I916" s="171">
        <v>4</v>
      </c>
    </row>
    <row r="917" ht="16.4" customHeight="1" spans="1:9">
      <c r="A917" s="1" t="s">
        <v>879</v>
      </c>
      <c r="B917" s="60" t="s">
        <v>1122</v>
      </c>
      <c r="C917" s="123"/>
      <c r="D917" s="579" t="s">
        <v>90</v>
      </c>
      <c r="E917" s="358"/>
      <c r="F917" s="558" t="e" cm="1">
        <f t="array" ref="F917">Default_GEOS_Param(404)</f>
        <v>#NAME?</v>
      </c>
      <c r="G917" s="558" t="e" cm="1">
        <f t="array" ref="G917">Default_GEOS_Param(407)</f>
        <v>#NAME?</v>
      </c>
      <c r="H917" s="558" t="e" cm="1">
        <f t="array" ref="H917">Default_GEOS_Param(410)</f>
        <v>#NAME?</v>
      </c>
      <c r="I917" s="559" t="e" cm="1">
        <f t="array" ref="I917">Default_GEOS_Param(413)</f>
        <v>#NAME?</v>
      </c>
    </row>
    <row r="918" ht="16.4" customHeight="1" spans="1:9">
      <c r="A918" s="1" t="s">
        <v>879</v>
      </c>
      <c r="B918" s="41"/>
      <c r="C918" s="123"/>
      <c r="D918" s="579" t="s">
        <v>1123</v>
      </c>
      <c r="E918" s="358"/>
      <c r="F918" s="548" t="e" cm="1">
        <f t="array" ref="F918">Default_GEOS_Param(405)</f>
        <v>#NAME?</v>
      </c>
      <c r="G918" s="548" t="e" cm="1">
        <f t="array" ref="G918">Default_GEOS_Param(408)</f>
        <v>#NAME?</v>
      </c>
      <c r="H918" s="548" t="e" cm="1">
        <f t="array" ref="H918">Default_GEOS_Param(411)</f>
        <v>#NAME?</v>
      </c>
      <c r="I918" s="548" t="e" cm="1">
        <f t="array" ref="I918">Default_GEOS_Param(414)</f>
        <v>#NAME?</v>
      </c>
    </row>
    <row r="919" ht="16.4" customHeight="1" spans="1:9">
      <c r="A919" s="1" t="s">
        <v>879</v>
      </c>
      <c r="B919" s="48"/>
      <c r="C919" s="59"/>
      <c r="D919" s="581" t="s">
        <v>1124</v>
      </c>
      <c r="E919" s="552"/>
      <c r="F919" s="553" t="e" cm="1">
        <f t="array" ref="F919">Default_GEOS_Param(406)</f>
        <v>#NAME?</v>
      </c>
      <c r="G919" s="553" t="e" cm="1">
        <f t="array" ref="G919">Default_GEOS_Param(409)</f>
        <v>#NAME?</v>
      </c>
      <c r="H919" s="553" t="e" cm="1">
        <f t="array" ref="H919">Default_GEOS_Param(412)</f>
        <v>#NAME?</v>
      </c>
      <c r="I919" s="553" t="e" cm="1">
        <f t="array" ref="I919">Default_GEOS_Param(415)</f>
        <v>#NAME?</v>
      </c>
    </row>
    <row r="920" ht="16.4" customHeight="1" spans="1:9">
      <c r="D920" s="189"/>
      <c r="E920" s="189"/>
      <c r="F920" s="3"/>
      <c r="G920" s="3"/>
      <c r="H920" s="3"/>
    </row>
    <row r="921" ht="16.4" customHeight="1" spans="1:9">
      <c r="B921" s="53" t="s">
        <v>1125</v>
      </c>
      <c r="C921" s="54"/>
      <c r="D921" s="310"/>
      <c r="E921" s="509" t="s">
        <v>902</v>
      </c>
      <c r="F921" s="3"/>
      <c r="G921" s="3"/>
      <c r="H921" s="3"/>
    </row>
    <row r="922" ht="16.4" customHeight="1" spans="1:9">
      <c r="B922" s="48"/>
      <c r="C922" s="59"/>
      <c r="D922" s="50" t="s">
        <v>1126</v>
      </c>
      <c r="E922" s="340" t="s">
        <v>1127</v>
      </c>
      <c r="F922" s="3"/>
      <c r="G922" s="3"/>
      <c r="H922" s="3"/>
    </row>
    <row r="923" ht="16.4" customHeight="1" spans="1:9">
      <c r="A923" s="1" t="s">
        <v>550</v>
      </c>
      <c r="D923" s="189"/>
      <c r="E923" s="189"/>
      <c r="F923" s="3"/>
      <c r="G923" s="3"/>
      <c r="H923" s="3"/>
    </row>
    <row r="924" ht="16.4" customHeight="1" spans="1:9">
      <c r="A924" s="1" t="s">
        <v>171</v>
      </c>
      <c r="B924" s="19" t="s">
        <v>1128</v>
      </c>
      <c r="E924" s="3"/>
    </row>
    <row r="925" ht="16.4" customHeight="1" spans="1:9">
      <c r="A925" s="1" t="s">
        <v>478</v>
      </c>
      <c r="B925" s="582"/>
      <c r="C925" s="101"/>
      <c r="D925" s="64"/>
      <c r="E925" s="3"/>
    </row>
    <row r="926" ht="16.4" customHeight="1" spans="1:9">
      <c r="A926" s="371" t="s">
        <v>478</v>
      </c>
      <c r="B926" s="583" t="s">
        <v>1129</v>
      </c>
      <c r="C926" s="455"/>
      <c r="D926" s="451"/>
      <c r="E926" s="316"/>
    </row>
    <row r="927" ht="16.4" customHeight="1" spans="1:9">
      <c r="A927" s="371" t="s">
        <v>478</v>
      </c>
      <c r="B927" s="584"/>
      <c r="C927" s="198"/>
      <c r="D927" s="43" t="s">
        <v>1130</v>
      </c>
      <c r="E927" s="78" t="e" cm="1">
        <f t="array" ref="E927">Fixed_Param(79,1)</f>
        <v>#NAME?</v>
      </c>
      <c r="F927" s="16"/>
    </row>
    <row r="928" ht="16.4" customHeight="1" spans="1:9">
      <c r="A928" s="371" t="s">
        <v>478</v>
      </c>
      <c r="B928" s="584"/>
      <c r="C928" s="198"/>
      <c r="D928" s="405" t="s">
        <v>1131</v>
      </c>
      <c r="E928" s="270" t="e" cm="1">
        <f t="array" ref="E928">Fixed_Param(80,1)</f>
        <v>#NAME?</v>
      </c>
      <c r="F928" s="16"/>
    </row>
    <row r="929" ht="16.4" customHeight="1" spans="1:7">
      <c r="A929" s="371" t="s">
        <v>478</v>
      </c>
      <c r="B929" s="584"/>
      <c r="C929" s="198"/>
      <c r="D929" s="405" t="s">
        <v>1132</v>
      </c>
      <c r="E929" s="78" t="e" cm="1">
        <f t="array" ref="E929">Fixed_Param(81,1)</f>
        <v>#NAME?</v>
      </c>
      <c r="F929" s="16"/>
    </row>
    <row r="930" ht="16.4" customHeight="1" spans="1:7">
      <c r="A930" s="371" t="s">
        <v>478</v>
      </c>
      <c r="B930" s="585"/>
      <c r="C930" s="386"/>
      <c r="D930" s="586" t="s">
        <v>1133</v>
      </c>
      <c r="E930" s="340" t="e" cm="1">
        <f t="array" ref="E930">Fixed_Param(82,1)</f>
        <v>#NAME?</v>
      </c>
      <c r="F930" s="16"/>
    </row>
    <row r="931" ht="16.4" customHeight="1" spans="1:7">
      <c r="A931" s="1" t="s">
        <v>478</v>
      </c>
      <c r="B931" s="382"/>
      <c r="C931" s="101"/>
      <c r="D931" s="64"/>
      <c r="E931" s="462"/>
    </row>
    <row r="932" ht="16.4" customHeight="1" spans="1:7">
      <c r="A932" s="371" t="s">
        <v>478</v>
      </c>
      <c r="B932" s="583" t="s">
        <v>1134</v>
      </c>
      <c r="C932" s="455"/>
      <c r="D932" s="451"/>
      <c r="E932" s="109"/>
    </row>
    <row r="933" ht="16.4" customHeight="1" spans="1:7">
      <c r="A933" s="371" t="s">
        <v>478</v>
      </c>
      <c r="B933" s="584"/>
      <c r="C933" s="198"/>
      <c r="D933" s="405" t="s">
        <v>1135</v>
      </c>
      <c r="E933" s="78" t="e" cm="1">
        <f t="array" ref="E933">Fixed_Param(83,1)</f>
        <v>#NAME?</v>
      </c>
    </row>
    <row r="934" ht="16.4" customHeight="1" spans="1:7">
      <c r="A934" s="371" t="s">
        <v>478</v>
      </c>
      <c r="B934" s="584"/>
      <c r="C934" s="198"/>
      <c r="D934" s="405" t="s">
        <v>1136</v>
      </c>
      <c r="E934" s="270" t="e" cm="1">
        <f t="array" ref="E934">Fixed_Param(84,1)</f>
        <v>#NAME?</v>
      </c>
    </row>
    <row r="935" ht="16.4" customHeight="1" spans="1:7">
      <c r="A935" s="371" t="s">
        <v>478</v>
      </c>
      <c r="B935" s="584"/>
      <c r="C935" s="198"/>
      <c r="D935" s="405" t="s">
        <v>1137</v>
      </c>
      <c r="E935" s="78" t="e" cm="1">
        <f t="array" ref="E935">Fixed_Param(85,1)</f>
        <v>#NAME?</v>
      </c>
    </row>
    <row r="936" ht="16.4" customHeight="1" spans="1:7">
      <c r="A936" s="371" t="s">
        <v>478</v>
      </c>
      <c r="B936" s="585"/>
      <c r="C936" s="386"/>
      <c r="D936" s="586" t="s">
        <v>1138</v>
      </c>
      <c r="E936" s="340" t="e" cm="1">
        <f t="array" ref="E936">Fixed_Param(86,1)</f>
        <v>#NAME?</v>
      </c>
    </row>
    <row r="937" ht="16.4" customHeight="1" spans="1:7">
      <c r="A937" s="1" t="s">
        <v>478</v>
      </c>
      <c r="B937" s="382"/>
      <c r="C937" s="101"/>
      <c r="D937" s="64"/>
      <c r="E937" s="462"/>
    </row>
    <row r="938" ht="16.4" customHeight="1" spans="1:7">
      <c r="A938" s="371" t="s">
        <v>478</v>
      </c>
      <c r="B938" s="583" t="s">
        <v>1139</v>
      </c>
      <c r="C938" s="455"/>
      <c r="D938" s="451"/>
      <c r="E938" s="109"/>
    </row>
    <row r="939" ht="16.4" customHeight="1" spans="1:7">
      <c r="A939" s="371" t="s">
        <v>478</v>
      </c>
      <c r="B939" s="584"/>
      <c r="C939" s="198"/>
      <c r="D939" s="587" t="s">
        <v>1140</v>
      </c>
      <c r="E939" s="78" t="e" cm="1">
        <f t="array" ref="E939">Fixed_Param(87,1)</f>
        <v>#NAME?</v>
      </c>
      <c r="G939" s="16"/>
    </row>
    <row r="940" ht="16.4" customHeight="1" spans="1:7">
      <c r="A940" s="371" t="s">
        <v>478</v>
      </c>
      <c r="B940" s="584"/>
      <c r="C940" s="198"/>
      <c r="D940" s="587" t="s">
        <v>1141</v>
      </c>
      <c r="E940" s="270" t="e" cm="1">
        <f t="array" ref="E940">Fixed_Param(88,1)</f>
        <v>#NAME?</v>
      </c>
    </row>
    <row r="941" ht="16.4" customHeight="1" spans="1:7">
      <c r="A941" s="371" t="s">
        <v>478</v>
      </c>
      <c r="B941" s="584"/>
      <c r="C941" s="198"/>
      <c r="D941" s="587" t="s">
        <v>1142</v>
      </c>
      <c r="E941" s="78" t="e" cm="1">
        <f t="array" ref="E941">Fixed_Param(89,1)</f>
        <v>#NAME?</v>
      </c>
    </row>
    <row r="942" ht="16.4" customHeight="1" spans="1:7">
      <c r="A942" s="371" t="s">
        <v>478</v>
      </c>
      <c r="B942" s="585"/>
      <c r="C942" s="386"/>
      <c r="D942" s="588" t="s">
        <v>1143</v>
      </c>
      <c r="E942" s="340" t="e" cm="1">
        <f t="array" ref="E942">Fixed_Param(90,1)</f>
        <v>#NAME?</v>
      </c>
    </row>
    <row r="943" ht="16.4" customHeight="1" spans="1:7">
      <c r="A943" s="1" t="s">
        <v>478</v>
      </c>
      <c r="B943" s="382"/>
      <c r="C943" s="101"/>
      <c r="D943" s="64"/>
      <c r="E943" s="462"/>
    </row>
    <row r="944" ht="16.4" customHeight="1" spans="1:7">
      <c r="A944" s="371" t="s">
        <v>478</v>
      </c>
      <c r="B944" s="583" t="s">
        <v>1144</v>
      </c>
      <c r="C944" s="455"/>
      <c r="D944" s="451"/>
      <c r="E944" s="109"/>
    </row>
    <row r="945" ht="16.4" customHeight="1" spans="1:6">
      <c r="A945" s="371" t="s">
        <v>478</v>
      </c>
      <c r="B945" s="584"/>
      <c r="C945" s="198"/>
      <c r="D945" s="405" t="s">
        <v>1145</v>
      </c>
      <c r="E945" s="78" t="e" cm="1">
        <f t="array" ref="E945">Fixed_Param(91,1)</f>
        <v>#NAME?</v>
      </c>
      <c r="F945" s="16"/>
    </row>
    <row r="946" ht="16.4" customHeight="1" spans="1:6">
      <c r="A946" s="371" t="s">
        <v>478</v>
      </c>
      <c r="B946" s="584"/>
      <c r="C946" s="198"/>
      <c r="D946" s="405" t="s">
        <v>1146</v>
      </c>
      <c r="E946" s="589" t="e" cm="1">
        <f t="array" ref="E946">Fixed_Param(92,1)</f>
        <v>#NAME?</v>
      </c>
      <c r="F946" s="16"/>
    </row>
    <row r="947" ht="16.4" customHeight="1" spans="1:6">
      <c r="A947" s="371" t="s">
        <v>478</v>
      </c>
      <c r="B947" s="584"/>
      <c r="C947" s="198"/>
      <c r="D947" s="405" t="s">
        <v>1147</v>
      </c>
      <c r="E947" s="78" t="e" cm="1">
        <f t="array" ref="E947">Fixed_Param(93,1)</f>
        <v>#NAME?</v>
      </c>
      <c r="F947" s="16"/>
    </row>
    <row r="948" ht="16.4" customHeight="1" spans="1:6">
      <c r="A948" s="371" t="s">
        <v>478</v>
      </c>
      <c r="B948" s="585"/>
      <c r="C948" s="386"/>
      <c r="D948" s="586" t="s">
        <v>1148</v>
      </c>
      <c r="E948" s="590" t="e" cm="1">
        <f t="array" ref="E948">Fixed_Param(94,1)</f>
        <v>#NAME?</v>
      </c>
      <c r="F948" s="16"/>
    </row>
    <row r="949" ht="16.4" customHeight="1" spans="1:6">
      <c r="A949" s="1" t="s">
        <v>478</v>
      </c>
      <c r="B949" s="382"/>
      <c r="C949" s="101"/>
      <c r="D949" s="64"/>
      <c r="E949" s="342"/>
    </row>
    <row r="950" ht="16.4" customHeight="1" spans="1:6">
      <c r="A950" s="1" t="s">
        <v>520</v>
      </c>
      <c r="B950" s="315" t="s">
        <v>1149</v>
      </c>
      <c r="C950" s="455"/>
      <c r="D950" s="451"/>
      <c r="E950" s="203"/>
    </row>
    <row r="951" ht="16.4" customHeight="1" spans="1:6">
      <c r="A951" s="1" t="s">
        <v>478</v>
      </c>
      <c r="B951" s="510"/>
      <c r="C951" s="198"/>
      <c r="D951" s="403" t="s">
        <v>1150</v>
      </c>
      <c r="E951" s="78" t="e" cm="1">
        <f t="array" ref="E951">Fixed_Param(95,1)</f>
        <v>#NAME?</v>
      </c>
      <c r="F951" s="16"/>
    </row>
    <row r="952" ht="16.4" customHeight="1" spans="1:6">
      <c r="A952" s="1" t="s">
        <v>478</v>
      </c>
      <c r="B952" s="510"/>
      <c r="C952" s="198"/>
      <c r="D952" s="403" t="s">
        <v>1151</v>
      </c>
      <c r="E952" s="78" t="e" cm="1">
        <f t="array" ref="E952">Fixed_Param(96,1)</f>
        <v>#NAME?</v>
      </c>
      <c r="F952" s="16"/>
    </row>
    <row r="953" ht="16.4" customHeight="1" spans="1:6">
      <c r="A953" s="1" t="s">
        <v>1152</v>
      </c>
      <c r="B953" s="510"/>
      <c r="C953" s="198"/>
      <c r="D953" s="132" t="s">
        <v>1153</v>
      </c>
      <c r="E953" s="78" t="e" cm="1">
        <f t="array" ref="E953">Fixed_Param(360,1)</f>
        <v>#NAME?</v>
      </c>
      <c r="F953" s="16"/>
    </row>
    <row r="954" ht="16.4" customHeight="1" spans="1:6">
      <c r="A954" s="1" t="s">
        <v>1152</v>
      </c>
      <c r="B954" s="510"/>
      <c r="C954" s="198"/>
      <c r="D954" s="132" t="s">
        <v>1154</v>
      </c>
      <c r="E954" s="78" t="e" cm="1">
        <f t="array" ref="E954">Fixed_Param(361,1)</f>
        <v>#NAME?</v>
      </c>
      <c r="F954" s="16"/>
    </row>
    <row r="955" ht="16.4" customHeight="1" spans="1:6">
      <c r="A955" s="1" t="s">
        <v>1152</v>
      </c>
      <c r="B955" s="510"/>
      <c r="C955" s="198"/>
      <c r="D955" s="132" t="s">
        <v>1155</v>
      </c>
      <c r="E955" s="78" t="e" cm="1">
        <f t="array" ref="E955">Fixed_Param(362,1)</f>
        <v>#NAME?</v>
      </c>
      <c r="F955" s="16"/>
    </row>
    <row r="956" ht="16.4" customHeight="1" spans="1:6">
      <c r="A956" s="1" t="s">
        <v>1152</v>
      </c>
      <c r="B956" s="510"/>
      <c r="C956" s="198"/>
      <c r="D956" s="403" t="s">
        <v>1156</v>
      </c>
      <c r="E956" s="78" t="e" cm="1">
        <f t="array" ref="E956">Fixed_Param(363,1)</f>
        <v>#NAME?</v>
      </c>
      <c r="F956" s="16"/>
    </row>
    <row r="957" ht="16.4" customHeight="1" spans="1:6">
      <c r="A957" s="1" t="s">
        <v>1152</v>
      </c>
      <c r="B957" s="510"/>
      <c r="C957" s="198"/>
      <c r="D957" s="132" t="s">
        <v>1157</v>
      </c>
      <c r="E957" s="78" t="e" cm="1">
        <f t="array" ref="E957">Fixed_Param(365,1)</f>
        <v>#NAME?</v>
      </c>
      <c r="F957" s="16"/>
    </row>
    <row r="958" ht="16.4" customHeight="1" spans="1:6">
      <c r="A958" s="1" t="s">
        <v>454</v>
      </c>
      <c r="B958" s="385"/>
      <c r="C958" s="386"/>
      <c r="D958" s="136" t="s">
        <v>1158</v>
      </c>
      <c r="E958" s="226" t="e" cm="1">
        <f t="array" ref="E958">Fixed_Param(367,1)</f>
        <v>#NAME?</v>
      </c>
      <c r="F958" s="16"/>
    </row>
    <row r="959" ht="16.4" customHeight="1" spans="1:6">
      <c r="B959" s="382"/>
      <c r="C959" s="101"/>
      <c r="D959" s="64"/>
      <c r="E959" s="17"/>
      <c r="F959" s="16"/>
    </row>
    <row r="960" ht="16.4" customHeight="1" spans="1:6">
      <c r="A960" s="149" t="s">
        <v>1159</v>
      </c>
      <c r="B960" s="315" t="s">
        <v>1160</v>
      </c>
      <c r="C960" s="455"/>
      <c r="D960" s="451"/>
      <c r="E960" s="203"/>
      <c r="F960" s="16"/>
    </row>
    <row r="961" ht="16.4" customHeight="1" spans="1:14">
      <c r="A961" s="149" t="s">
        <v>1159</v>
      </c>
      <c r="B961" s="510"/>
      <c r="C961" s="198"/>
      <c r="D961" s="403" t="s">
        <v>1161</v>
      </c>
      <c r="E961" s="591" t="e" cm="1">
        <f t="array" ref="E961">Fixed_Param(650,1)</f>
        <v>#NAME?</v>
      </c>
      <c r="F961" s="16"/>
    </row>
    <row r="962" ht="16.4" customHeight="1" spans="1:14">
      <c r="A962" s="149" t="s">
        <v>1159</v>
      </c>
      <c r="B962" s="510"/>
      <c r="C962" s="198"/>
      <c r="D962" s="132" t="s">
        <v>1162</v>
      </c>
      <c r="E962" s="78" t="e" cm="1">
        <f t="array" ref="E962">Fixed_Param(651,1)</f>
        <v>#NAME?</v>
      </c>
      <c r="F962" s="16"/>
    </row>
    <row r="963" ht="16.4" customHeight="1" spans="1:14">
      <c r="A963" s="149" t="s">
        <v>1159</v>
      </c>
      <c r="B963" s="510"/>
      <c r="C963" s="198"/>
      <c r="D963" s="403" t="s">
        <v>1163</v>
      </c>
      <c r="E963" s="78" t="e" cm="1">
        <f t="array" ref="E963">Fixed_Param(652,1)</f>
        <v>#NAME?</v>
      </c>
      <c r="F963" s="16"/>
    </row>
    <row r="964" ht="16.4" customHeight="1" spans="1:14">
      <c r="A964" s="149" t="s">
        <v>1159</v>
      </c>
      <c r="B964" s="510"/>
      <c r="C964" s="198"/>
      <c r="D964" s="403" t="s">
        <v>1164</v>
      </c>
      <c r="E964" s="78" t="e" cm="1">
        <f t="array" ref="E964">Fixed_Param(653,1)</f>
        <v>#NAME?</v>
      </c>
      <c r="F964" s="16"/>
    </row>
    <row r="965" ht="16.4" customHeight="1" spans="1:14">
      <c r="A965" s="149" t="s">
        <v>1159</v>
      </c>
      <c r="B965" s="510"/>
      <c r="C965" s="198"/>
      <c r="D965" s="403" t="s">
        <v>1165</v>
      </c>
      <c r="E965" s="78" t="e" cm="1">
        <f t="array" ref="E965">Fixed_Param(654,1)</f>
        <v>#NAME?</v>
      </c>
      <c r="F965" s="16"/>
    </row>
    <row r="966" ht="16.4" customHeight="1" spans="1:14">
      <c r="A966" s="149" t="s">
        <v>1159</v>
      </c>
      <c r="B966" s="385"/>
      <c r="C966" s="386"/>
      <c r="D966" s="136" t="s">
        <v>1166</v>
      </c>
      <c r="E966" s="226" t="e" cm="1">
        <f t="array" ref="E966">Fixed_Param(655,1)</f>
        <v>#NAME?</v>
      </c>
      <c r="F966" s="16"/>
    </row>
    <row r="967" ht="16.4" customHeight="1" spans="1:14">
      <c r="B967" s="382"/>
      <c r="C967" s="101"/>
      <c r="D967" s="64"/>
      <c r="E967" s="17"/>
      <c r="F967" s="16"/>
    </row>
    <row r="968" ht="16.4" customHeight="1" spans="1:14">
      <c r="A968" s="1" t="s">
        <v>289</v>
      </c>
      <c r="B968" s="19" t="s">
        <v>1167</v>
      </c>
      <c r="C968" s="101"/>
      <c r="D968" s="64"/>
      <c r="E968" s="387"/>
      <c r="F968" s="16"/>
    </row>
    <row r="969" ht="16.4" customHeight="1" spans="1:14">
      <c r="A969" s="1" t="s">
        <v>550</v>
      </c>
      <c r="B969" s="57"/>
    </row>
    <row r="970" ht="16.4" customHeight="1" spans="1:14">
      <c r="A970" s="1" t="s">
        <v>478</v>
      </c>
      <c r="B970" s="53" t="s">
        <v>1168</v>
      </c>
      <c r="C970" s="90"/>
      <c r="D970" s="55" t="s">
        <v>237</v>
      </c>
      <c r="E970" s="592" t="s">
        <v>1169</v>
      </c>
      <c r="F970" s="54">
        <v>1</v>
      </c>
      <c r="G970" s="125">
        <v>2</v>
      </c>
    </row>
    <row r="971" ht="16.4" customHeight="1" spans="1:14">
      <c r="A971" s="1" t="s">
        <v>478</v>
      </c>
      <c r="B971" s="321"/>
      <c r="C971" s="33"/>
      <c r="D971" s="87" t="s">
        <v>90</v>
      </c>
      <c r="E971" s="92"/>
      <c r="F971" s="593" t="s">
        <v>1170</v>
      </c>
      <c r="G971" s="594" t="s">
        <v>1171</v>
      </c>
    </row>
    <row r="972" ht="16.4" customHeight="1" spans="1:14">
      <c r="A972" s="1" t="s">
        <v>1172</v>
      </c>
      <c r="B972" s="284"/>
      <c r="C972" s="49"/>
      <c r="D972" s="96" t="s">
        <v>1173</v>
      </c>
      <c r="E972" s="595"/>
      <c r="F972" s="253" t="e" cm="1">
        <f t="array" ref="F972">IF(dc(101)="TRUE",1,0)</f>
        <v>#NAME?</v>
      </c>
      <c r="G972" s="254" t="e" cm="1">
        <f t="array" ref="G972">IF(dc(101)="TRUE",1,0)</f>
        <v>#NAME?</v>
      </c>
    </row>
    <row r="973" ht="16.4" customHeight="1" spans="1:14">
      <c r="A973" s="27"/>
      <c r="B973" s="57"/>
      <c r="F973" s="341"/>
      <c r="G973" s="341"/>
    </row>
    <row r="974" ht="16.4" customHeight="1" spans="1:14">
      <c r="A974" s="1" t="s">
        <v>289</v>
      </c>
      <c r="B974" s="53" t="s">
        <v>1174</v>
      </c>
      <c r="C974" s="90"/>
      <c r="D974" s="55"/>
      <c r="E974" s="596" t="s">
        <v>1175</v>
      </c>
    </row>
    <row r="975" ht="16.4" customHeight="1" spans="1:14">
      <c r="A975" s="1" t="s">
        <v>289</v>
      </c>
      <c r="B975" s="321"/>
      <c r="C975" s="33"/>
      <c r="D975" s="34" t="s">
        <v>1176</v>
      </c>
      <c r="E975" s="84" t="e" cm="1">
        <f t="array" ref="E975">Default_SERIAL_Param(1,IF(ID(2501)="Used","Serial_Port_9600_Bds_ON","Serial_Port_OFF"))</f>
        <v>#NAME?</v>
      </c>
      <c r="G975" s="190" t="s">
        <v>1177</v>
      </c>
      <c r="H975" s="310"/>
      <c r="I975" s="310"/>
      <c r="J975" s="310"/>
      <c r="K975" s="310"/>
      <c r="L975" s="310"/>
      <c r="M975" s="310"/>
      <c r="N975" s="323"/>
    </row>
    <row r="976" ht="16.4" customHeight="1" spans="1:14">
      <c r="A976" s="1" t="s">
        <v>289</v>
      </c>
      <c r="B976" s="60"/>
      <c r="C976" s="33"/>
      <c r="D976" s="312" t="s">
        <v>1178</v>
      </c>
      <c r="E976" s="395" t="e" cm="1">
        <f t="array" ref="E976">Default_SERIAL_Param(2,IF(ID(2501)="Used","Serial_Port_9600_Bds_ON","Serial_Port_OFF"))</f>
        <v>#NAME?</v>
      </c>
      <c r="G976" s="60" t="s">
        <v>1179</v>
      </c>
      <c r="H976" s="132" t="s">
        <v>1180</v>
      </c>
      <c r="I976" s="597">
        <f>COUNTIF(J978:N978,"&lt;&gt;-")</f>
        <v>1</v>
      </c>
      <c r="J976" s="123"/>
      <c r="K976" s="123"/>
      <c r="L976" s="123"/>
      <c r="M976" s="123"/>
      <c r="N976" s="598"/>
    </row>
    <row r="977" ht="16.4" customHeight="1" spans="1:14">
      <c r="A977" s="1" t="s">
        <v>289</v>
      </c>
      <c r="B977" s="510"/>
      <c r="C977" s="198"/>
      <c r="D977" s="312" t="s">
        <v>1181</v>
      </c>
      <c r="E977" s="395" t="e" cm="1">
        <f t="array" ref="E977">Default_SERIAL_Param(3,IF(ID(2501)="Used","Serial_Port_9600_Bds_ON","Serial_Port_OFF"))</f>
        <v>#NAME?</v>
      </c>
      <c r="G977" s="41"/>
      <c r="H977" s="43" t="s">
        <v>90</v>
      </c>
      <c r="I977" s="123"/>
      <c r="J977" s="42">
        <v>1</v>
      </c>
      <c r="K977" s="42">
        <v>2</v>
      </c>
      <c r="L977" s="42">
        <v>3</v>
      </c>
      <c r="M977" s="42">
        <v>4</v>
      </c>
      <c r="N977" s="599">
        <v>5</v>
      </c>
    </row>
    <row r="978" ht="16.4" customHeight="1" spans="1:14">
      <c r="A978" s="1" t="s">
        <v>289</v>
      </c>
      <c r="B978" s="510"/>
      <c r="C978" s="198"/>
      <c r="D978" s="312" t="s">
        <v>1182</v>
      </c>
      <c r="E978" s="84" t="e" cm="1">
        <f t="array" ref="E978">Default_SERIAL_Param(4,IF(ID(2501)="Used","Serial_Port_9600_Bds_ON","Serial_Port_OFF"))</f>
        <v>#NAME?</v>
      </c>
      <c r="G978" s="41"/>
      <c r="H978" s="132" t="s">
        <v>1183</v>
      </c>
      <c r="I978" s="600"/>
      <c r="J978" s="601" t="e" cm="1">
        <f t="array" ref="J978">IF(ID(2501)="Used","TX","-")</f>
        <v>#NAME?</v>
      </c>
      <c r="K978" s="602" t="s">
        <v>61</v>
      </c>
      <c r="L978" s="602" t="s">
        <v>61</v>
      </c>
      <c r="M978" s="602" t="s">
        <v>61</v>
      </c>
      <c r="N978" s="145" t="s">
        <v>61</v>
      </c>
    </row>
    <row r="979" ht="16.4" customHeight="1" spans="1:14">
      <c r="A979" s="1" t="s">
        <v>289</v>
      </c>
      <c r="B979" s="510"/>
      <c r="C979" s="198"/>
      <c r="D979" s="312" t="s">
        <v>1184</v>
      </c>
      <c r="E979" s="395" t="e" cm="1">
        <f t="array" ref="E979">Default_SERIAL_Param(6,IF(ID(2501)="Used","Serial_Port_9600_Bds_ON","Serial_Port_OFF"))</f>
        <v>#NAME?</v>
      </c>
      <c r="G979" s="41"/>
      <c r="H979" s="132" t="s">
        <v>1185</v>
      </c>
      <c r="I979" s="312"/>
      <c r="J979" s="603" t="e" cm="1">
        <f t="array" ref="J979">IF(ID(2501)="Used",32,"-")</f>
        <v>#NAME?</v>
      </c>
      <c r="K979" s="604" t="s">
        <v>61</v>
      </c>
      <c r="L979" s="604" t="s">
        <v>61</v>
      </c>
      <c r="M979" s="604" t="s">
        <v>61</v>
      </c>
      <c r="N979" s="145" t="s">
        <v>61</v>
      </c>
    </row>
    <row r="980" ht="16.4" customHeight="1" spans="1:14">
      <c r="A980" s="1" t="s">
        <v>289</v>
      </c>
      <c r="B980" s="385"/>
      <c r="C980" s="386"/>
      <c r="D980" s="511" t="s">
        <v>1186</v>
      </c>
      <c r="E980" s="605" t="e" cm="1">
        <f t="array" ref="E980">Default_SERIAL_Param(7,IF(ID(2501)="Used","Serial_Port_9600_Bds_ON","Serial_Port_OFF"))</f>
        <v>#NAME?</v>
      </c>
      <c r="G980" s="48"/>
      <c r="H980" s="136" t="s">
        <v>1187</v>
      </c>
      <c r="I980" s="511"/>
      <c r="J980" s="606" t="e" cm="1">
        <f t="array" ref="J980">IF(ID(2501)="Used","TRN   ","-")</f>
        <v>#NAME?</v>
      </c>
      <c r="K980" s="607" t="s">
        <v>61</v>
      </c>
      <c r="L980" s="607" t="s">
        <v>61</v>
      </c>
      <c r="M980" s="608" t="s">
        <v>61</v>
      </c>
      <c r="N980" s="158" t="s">
        <v>61</v>
      </c>
    </row>
    <row r="981" ht="16.4" customHeight="1" spans="1:14">
      <c r="B981" s="382"/>
      <c r="C981" s="101"/>
      <c r="E981" s="609"/>
      <c r="H981" s="189"/>
      <c r="J981" s="610"/>
      <c r="K981" s="610"/>
      <c r="L981" s="610"/>
      <c r="M981" s="611"/>
      <c r="N981" s="611"/>
    </row>
    <row r="982" ht="16.4" customHeight="1" spans="1:14">
      <c r="B982" s="382"/>
      <c r="C982" s="101"/>
      <c r="E982" s="612"/>
      <c r="H982" s="189"/>
      <c r="J982" s="160"/>
      <c r="K982" s="160"/>
      <c r="L982" s="160"/>
      <c r="M982" s="495"/>
      <c r="N982" s="495"/>
    </row>
    <row r="983" ht="16.4" customHeight="1" spans="1:14">
      <c r="A983" s="1" t="s">
        <v>13</v>
      </c>
      <c r="B983" s="57" t="s">
        <v>1188</v>
      </c>
    </row>
    <row r="984" ht="16.4" customHeight="1"/>
    <row r="985" ht="16.4" customHeight="1" spans="1:14">
      <c r="A985" s="1" t="s">
        <v>13</v>
      </c>
      <c r="B985" s="315" t="s">
        <v>1189</v>
      </c>
      <c r="C985" s="163"/>
      <c r="D985" s="332"/>
      <c r="E985" s="613"/>
    </row>
    <row r="986" ht="16.4" customHeight="1" spans="1:14">
      <c r="A986" s="1" t="s">
        <v>361</v>
      </c>
      <c r="B986" s="182"/>
      <c r="C986" s="183"/>
      <c r="D986" s="363" t="s">
        <v>1190</v>
      </c>
      <c r="E986" s="449" t="e" cm="1">
        <f t="array" ref="E986">Fixed_Param(406,1)</f>
        <v>#NAME?</v>
      </c>
    </row>
    <row r="987" ht="16.4" customHeight="1" spans="1:14">
      <c r="E987" s="454"/>
    </row>
    <row r="988" ht="16.4" customHeight="1" spans="1:14">
      <c r="A988" s="1" t="s">
        <v>428</v>
      </c>
      <c r="B988" s="614" t="s">
        <v>1191</v>
      </c>
      <c r="C988" s="200"/>
      <c r="D988" s="200"/>
      <c r="E988" s="109"/>
    </row>
    <row r="989" ht="16.4" customHeight="1" spans="1:14">
      <c r="A989" s="1" t="s">
        <v>13</v>
      </c>
      <c r="B989" s="190"/>
      <c r="C989" s="164"/>
      <c r="D989" s="164" t="s">
        <v>1192</v>
      </c>
      <c r="E989" s="615" t="e" cm="1">
        <f t="array" ref="E989">Fixed_Param(407,1)</f>
        <v>#NAME?</v>
      </c>
    </row>
    <row r="990" ht="16.4" customHeight="1" spans="1:14">
      <c r="A990" s="1" t="s">
        <v>371</v>
      </c>
      <c r="B990" s="346"/>
      <c r="C990" s="176"/>
      <c r="D990" s="43" t="s">
        <v>1193</v>
      </c>
      <c r="E990" s="448" t="e" cm="1">
        <f t="array" ref="E990">Fixed_Param(408,1)</f>
        <v>#NAME?</v>
      </c>
    </row>
    <row r="991" ht="16.4" customHeight="1" spans="1:14">
      <c r="A991" s="1" t="s">
        <v>13</v>
      </c>
      <c r="B991" s="41"/>
      <c r="C991" s="123"/>
      <c r="D991" s="123" t="s">
        <v>1194</v>
      </c>
      <c r="E991" s="448" t="e" cm="1">
        <f t="array" ref="E991">Fixed_Param(409,1)</f>
        <v>#NAME?</v>
      </c>
    </row>
    <row r="992" ht="16.4" customHeight="1" spans="1:14">
      <c r="A992" s="1" t="s">
        <v>13</v>
      </c>
      <c r="B992" s="41"/>
      <c r="C992" s="123"/>
      <c r="D992" s="312" t="s">
        <v>1195</v>
      </c>
      <c r="E992" s="448" t="e" cm="1">
        <f t="array" ref="E992">Fixed_Param(410,1)</f>
        <v>#NAME?</v>
      </c>
    </row>
    <row r="993" ht="16.4" customHeight="1" spans="1:5">
      <c r="A993" s="1" t="s">
        <v>13</v>
      </c>
      <c r="B993" s="41"/>
      <c r="C993" s="123"/>
      <c r="D993" s="312" t="s">
        <v>1196</v>
      </c>
      <c r="E993" s="448" t="e" cm="1">
        <f t="array" ref="E993">Fixed_Param(411,1)</f>
        <v>#NAME?</v>
      </c>
    </row>
    <row r="994" ht="16.4" customHeight="1" spans="1:5">
      <c r="A994" s="1" t="s">
        <v>13</v>
      </c>
      <c r="B994" s="48"/>
      <c r="C994" s="467"/>
      <c r="D994" s="511" t="s">
        <v>1197</v>
      </c>
      <c r="E994" s="449" t="e" cm="1">
        <f t="array" ref="E994">Fixed_Param(412,1)</f>
        <v>#NAME?</v>
      </c>
    </row>
    <row r="995" ht="16.4" customHeight="1" spans="1:5">
      <c r="B995" s="376" t="s">
        <v>24</v>
      </c>
      <c r="C995" s="176"/>
      <c r="D995" s="43" t="s">
        <v>1198</v>
      </c>
      <c r="E995" s="448">
        <v>0</v>
      </c>
    </row>
    <row r="996" ht="16.4" customHeight="1" spans="1:5">
      <c r="B996" s="346"/>
      <c r="C996" s="176"/>
      <c r="D996" s="43" t="s">
        <v>1199</v>
      </c>
      <c r="E996" s="448">
        <v>0</v>
      </c>
    </row>
    <row r="997" ht="16.4" customHeight="1" spans="1:5">
      <c r="B997" s="346"/>
      <c r="C997" s="176"/>
      <c r="D997" s="43" t="s">
        <v>1200</v>
      </c>
      <c r="E997" s="448">
        <v>0</v>
      </c>
    </row>
    <row r="998" ht="16.4" customHeight="1" spans="1:5">
      <c r="B998" s="346"/>
      <c r="C998" s="176"/>
      <c r="D998" s="43" t="s">
        <v>1201</v>
      </c>
      <c r="E998" s="448">
        <v>0</v>
      </c>
    </row>
    <row r="999" ht="16.4" customHeight="1" spans="1:5">
      <c r="B999" s="346"/>
      <c r="C999" s="176"/>
      <c r="D999" s="43" t="s">
        <v>1202</v>
      </c>
      <c r="E999" s="448">
        <v>0</v>
      </c>
    </row>
    <row r="1000" ht="16.4" customHeight="1" spans="1:5">
      <c r="B1000" s="351"/>
      <c r="C1000" s="183"/>
      <c r="D1000" s="50" t="s">
        <v>1203</v>
      </c>
      <c r="E1000" s="449">
        <v>0</v>
      </c>
    </row>
    <row r="1001" ht="16.4" customHeight="1" spans="1:5">
      <c r="C1001" s="2"/>
      <c r="E1001" s="428"/>
    </row>
    <row r="1002" ht="16.4" customHeight="1" spans="1:5">
      <c r="A1002" s="1" t="s">
        <v>13</v>
      </c>
      <c r="B1002" s="315" t="s">
        <v>1204</v>
      </c>
      <c r="C1002" s="163"/>
      <c r="D1002" s="164"/>
      <c r="E1002" s="616"/>
    </row>
    <row r="1003" ht="16.4" customHeight="1" spans="1:5">
      <c r="A1003" s="1" t="s">
        <v>361</v>
      </c>
      <c r="B1003" s="175"/>
      <c r="C1003" s="176"/>
      <c r="D1003" s="132" t="s">
        <v>1205</v>
      </c>
      <c r="E1003" s="448" t="e" cm="1">
        <f t="array" ref="E1003">Fixed_Param(413,1)</f>
        <v>#NAME?</v>
      </c>
    </row>
    <row r="1004" ht="16.4" customHeight="1" spans="1:5">
      <c r="A1004" s="1" t="s">
        <v>1206</v>
      </c>
      <c r="B1004" s="351"/>
      <c r="C1004" s="183"/>
      <c r="D1004" s="136" t="s">
        <v>1207</v>
      </c>
      <c r="E1004" s="449" t="e" cm="1">
        <f t="array" ref="E1004">Fixed_Param(415,1)</f>
        <v>#NAME?</v>
      </c>
    </row>
    <row r="1005" ht="16.4" customHeight="1" spans="1:5">
      <c r="E1005" s="341"/>
    </row>
    <row r="1006" ht="16.4" customHeight="1"/>
    <row r="1007" ht="15.6" spans="1:5">
      <c r="B1007" s="57"/>
    </row>
    <row r="1012" spans="2:4">
      <c r="B1012" s="16"/>
      <c r="D1012" s="16"/>
    </row>
  </sheetData>
  <sheetProtection algorithmName="SHA-512" hashValue="tBeL3UcH8MGJHJFHcupR9r3vCUs7OQo4aRE9sf9uPXB+XGqHde8A8S+ulD9WTJlYZP6BrWl6qoXzeMHfFrrfYA==" saltValue="n2llKu9iL1Or5lc4envO7Q==" spinCount="100000" sheet="1" scenarios="1"/>
  <conditionalFormatting sqref="A306">
    <cfRule type="expression" dxfId="0" priority="8">
      <formula>SEARCH("6.2.B",A306)&gt;0</formula>
    </cfRule>
    <cfRule type="expression" dxfId="0" priority="7">
      <formula>SEARCH("6.2.C",A306)</formula>
    </cfRule>
  </conditionalFormatting>
  <conditionalFormatting sqref="F548">
    <cfRule type="expression" dxfId="1" priority="10">
      <formula>$AK548&lt;&gt;""</formula>
    </cfRule>
  </conditionalFormatting>
  <conditionalFormatting sqref="F563">
    <cfRule type="expression" dxfId="1" priority="11">
      <formula>$AK563&lt;&gt;""</formula>
    </cfRule>
  </conditionalFormatting>
  <conditionalFormatting sqref="D860">
    <cfRule type="expression" dxfId="1" priority="6">
      <formula>$L860&lt;&gt;""</formula>
    </cfRule>
  </conditionalFormatting>
  <conditionalFormatting sqref="D864">
    <cfRule type="expression" dxfId="1" priority="5">
      <formula>$L864&lt;&gt;""</formula>
    </cfRule>
  </conditionalFormatting>
  <conditionalFormatting sqref="D868">
    <cfRule type="expression" dxfId="1" priority="4">
      <formula>$L868&lt;&gt;""</formula>
    </cfRule>
  </conditionalFormatting>
  <conditionalFormatting sqref="D872">
    <cfRule type="expression" dxfId="1" priority="2">
      <formula>$L872&lt;&gt;""</formula>
    </cfRule>
  </conditionalFormatting>
  <conditionalFormatting sqref="D879:D881">
    <cfRule type="expression" dxfId="1" priority="3">
      <formula>$L879&lt;&gt;""</formula>
    </cfRule>
  </conditionalFormatting>
  <conditionalFormatting sqref="F556:F558">
    <cfRule type="expression" dxfId="1" priority="1">
      <formula>$AK556&lt;&gt;""</formula>
    </cfRule>
  </conditionalFormatting>
  <conditionalFormatting sqref="F562;F550:F554">
    <cfRule type="expression" dxfId="1" priority="12">
      <formula>$AK550&lt;&gt;""</formula>
    </cfRule>
  </conditionalFormatting>
  <conditionalFormatting sqref="F555;F559">
    <cfRule type="expression" dxfId="1" priority="9">
      <formula>$AK555&lt;&gt;""</formula>
    </cfRule>
  </conditionalFormatting>
  <pageMargins left="0.7" right="0.7" top="0.75" bottom="0.75" header="0.3" footer="0.3"/>
  <pageSetup paperSize="1" orientation="portrait"/>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2"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vt:i4>
      </vt:variant>
    </vt:vector>
  </HeadingPairs>
  <TitlesOfParts>
    <vt:vector size="1" baseType="lpstr">
      <vt:lpstr>Train type (2)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bkrol</dc:creator>
  <cp:lastModifiedBy>bkrol</cp:lastModifiedBy>
  <dcterms:created xsi:type="dcterms:W3CDTF">2026-06-28T18:18:10Z</dcterms:created>
  <dcterms:modified xsi:type="dcterms:W3CDTF">2026-06-28T18:20:03Z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AA3BBE1927F24818BC46E8907B0087DC_11</vt:lpwstr>
  </property>
  <property fmtid="{D5CDD505-2E9C-101B-9397-08002B2CF9AE}" pid="3" name="KSOProductBuildVer">
    <vt:lpwstr>1045-12.1.0.26880</vt:lpwstr>
  </property>
  <property fmtid="{D5CDD505-2E9C-101B-9397-08002B2CF9AE}" pid="4" name="CalculationRule">
    <vt:i4>1</vt:i4>
  </property>
</Properties>
</file>